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
    </mc:Choice>
  </mc:AlternateContent>
  <xr:revisionPtr revIDLastSave="0" documentId="13_ncr:1_{8FC08CB9-6A7C-4D4F-8344-02B6646CAC5E}" xr6:coauthVersionLast="47" xr6:coauthVersionMax="47" xr10:uidLastSave="{00000000-0000-0000-0000-000000000000}"/>
  <bookViews>
    <workbookView xWindow="-110" yWindow="-110" windowWidth="19420" windowHeight="10420" activeTab="2" xr2:uid="{00000000-000D-0000-FFFF-FFFF00000000}"/>
  </bookViews>
  <sheets>
    <sheet name="Dashboard" sheetId="4" r:id="rId1"/>
    <sheet name="Pivot Tables" sheetId="5" r:id="rId2"/>
    <sheet name="Music " sheetId="1" r:id="rId3"/>
  </sheets>
  <definedNames>
    <definedName name="Slicer_Country">#N/A</definedName>
    <definedName name="Slicer_Genre">#N/A</definedName>
    <definedName name="Slicer_Year">#N/A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 i="1" l="1"/>
</calcChain>
</file>

<file path=xl/sharedStrings.xml><?xml version="1.0" encoding="utf-8"?>
<sst xmlns="http://schemas.openxmlformats.org/spreadsheetml/2006/main" count="181" uniqueCount="84">
  <si>
    <t>Year</t>
  </si>
  <si>
    <t>Song</t>
  </si>
  <si>
    <t>Artist</t>
  </si>
  <si>
    <t>Country</t>
  </si>
  <si>
    <t>Uptown Funk</t>
  </si>
  <si>
    <t>Bruno Mars</t>
  </si>
  <si>
    <t>USA</t>
  </si>
  <si>
    <t>Canada</t>
  </si>
  <si>
    <t>Shape of You</t>
  </si>
  <si>
    <t>Ed Sheeran</t>
  </si>
  <si>
    <t>UK</t>
  </si>
  <si>
    <t>Despacito</t>
  </si>
  <si>
    <t>Luis Fonsi</t>
  </si>
  <si>
    <t>Puerto Rico</t>
  </si>
  <si>
    <t>Blinding Lights</t>
  </si>
  <si>
    <t>The Weeknd</t>
  </si>
  <si>
    <t>Stay</t>
  </si>
  <si>
    <t>Kid Laroi &amp; Bieber</t>
  </si>
  <si>
    <t>Australia</t>
  </si>
  <si>
    <t>Harry Styles</t>
  </si>
  <si>
    <t>Calm Down</t>
  </si>
  <si>
    <t>Rema</t>
  </si>
  <si>
    <t>Nigeria</t>
  </si>
  <si>
    <t>Seven</t>
  </si>
  <si>
    <t>Jungkook</t>
  </si>
  <si>
    <t>South Korea</t>
  </si>
  <si>
    <t>One Dance</t>
  </si>
  <si>
    <t>Drake</t>
  </si>
  <si>
    <t>Humble</t>
  </si>
  <si>
    <t>Kendrick Lamar</t>
  </si>
  <si>
    <t>Perfect</t>
  </si>
  <si>
    <t>Senorita</t>
  </si>
  <si>
    <t>Shawn Mendes</t>
  </si>
  <si>
    <t>Watermelon Sugar</t>
  </si>
  <si>
    <t>Butter</t>
  </si>
  <si>
    <t>BTS</t>
  </si>
  <si>
    <t>Levitating</t>
  </si>
  <si>
    <t>Dua Lipa</t>
  </si>
  <si>
    <t>Flowers</t>
  </si>
  <si>
    <t>Miley Cyrus</t>
  </si>
  <si>
    <t>Hello</t>
  </si>
  <si>
    <t>Adele</t>
  </si>
  <si>
    <t>Work</t>
  </si>
  <si>
    <t>Rihanna</t>
  </si>
  <si>
    <t>Barbados</t>
  </si>
  <si>
    <t>Believer</t>
  </si>
  <si>
    <t>Imagine Dragons</t>
  </si>
  <si>
    <t>Rockstar</t>
  </si>
  <si>
    <t>Post Malone</t>
  </si>
  <si>
    <t>Old Town Road</t>
  </si>
  <si>
    <t>Lil Nas X</t>
  </si>
  <si>
    <t>Savage Love</t>
  </si>
  <si>
    <t>Jason Derulo</t>
  </si>
  <si>
    <t>Drivers License</t>
  </si>
  <si>
    <t>Olivia Rodrigo</t>
  </si>
  <si>
    <t>Industry Baby</t>
  </si>
  <si>
    <t>Unholy</t>
  </si>
  <si>
    <t>Sam Smith</t>
  </si>
  <si>
    <t>Idol</t>
  </si>
  <si>
    <t>Aradhya</t>
  </si>
  <si>
    <t>Anirudh Ravichander</t>
  </si>
  <si>
    <t>India</t>
  </si>
  <si>
    <t>Genre</t>
  </si>
  <si>
    <t>Streams (M)</t>
  </si>
  <si>
    <t>Pop</t>
  </si>
  <si>
    <t>Hip-Hop</t>
  </si>
  <si>
    <t>Reggaeton</t>
  </si>
  <si>
    <t>Vaathi Coming</t>
  </si>
  <si>
    <t>Tamil Pop</t>
  </si>
  <si>
    <t>R&amp;B</t>
  </si>
  <si>
    <t>K-Pop</t>
  </si>
  <si>
    <t>Afrobeats</t>
  </si>
  <si>
    <t>Rock</t>
  </si>
  <si>
    <t>Faded</t>
  </si>
  <si>
    <t>Alan Walker</t>
  </si>
  <si>
    <t>EDM</t>
  </si>
  <si>
    <t>Norway</t>
  </si>
  <si>
    <t>Tum Tum</t>
  </si>
  <si>
    <t>Sai Abhyankkar</t>
  </si>
  <si>
    <t>Cultural Trend Analysis in Music</t>
  </si>
  <si>
    <t>Sum of Streams (M)</t>
  </si>
  <si>
    <t>Total Streams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</si>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</sst>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39997558519241921"/>
        <bgColor indexed="64"/>
      </patternFill>
    </fill>
  </fills>
  <borders count="1">
    <border>
      <left/>
      <right/>
      <top/>
      <bottom/>
      <diagonal/>
    </border>
  </borders>
  <cellStyleXfs count="1">
    <xf numFmtId="0" fontId="0" fillId="0" borderId="0"/>
  </cellStyleXfs>
  <cellXfs count="9">
    <xf numFmtId="0" fontId="0" fillId="0" borderId="0" xfId="0"/>
    <xf numFmtId="3"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0" fillId="2" borderId="0" xfId="0" applyFill="1"/>
    <xf numFmtId="0" fontId="0" fillId="2" borderId="0" xfId="0" applyFill="1" applyAlignment="1">
      <alignment vertical="center"/>
    </xf>
    <xf numFmtId="0" fontId="0" fillId="0" borderId="0" xfId="0" pivotButton="1"/>
    <xf numFmtId="0" fontId="0" fillId="0" borderId="0" xfId="0" applyNumberForma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Tables!PivotTable4</c:name>
    <c:fmtId val="4"/>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02580927384075E-2"/>
          <c:y val="5.5555555555555552E-2"/>
          <c:w val="0.90625174978127732"/>
          <c:h val="0.67409776902887142"/>
        </c:manualLayout>
      </c:layout>
      <c:lineChart>
        <c:grouping val="standard"/>
        <c:varyColors val="0"/>
        <c:ser>
          <c:idx val="0"/>
          <c:order val="0"/>
          <c:tx>
            <c:strRef>
              <c:f>'Pivot Tables'!$M$12</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Tables'!$L$13:$L$23</c:f>
              <c:strCache>
                <c:ptCount val="10"/>
                <c:pt idx="0">
                  <c:v>Australia</c:v>
                </c:pt>
                <c:pt idx="1">
                  <c:v>Barbados</c:v>
                </c:pt>
                <c:pt idx="2">
                  <c:v>Canada</c:v>
                </c:pt>
                <c:pt idx="3">
                  <c:v>India</c:v>
                </c:pt>
                <c:pt idx="4">
                  <c:v>Nigeria</c:v>
                </c:pt>
                <c:pt idx="5">
                  <c:v>Norway</c:v>
                </c:pt>
                <c:pt idx="6">
                  <c:v>Puerto Rico</c:v>
                </c:pt>
                <c:pt idx="7">
                  <c:v>South Korea</c:v>
                </c:pt>
                <c:pt idx="8">
                  <c:v>UK</c:v>
                </c:pt>
                <c:pt idx="9">
                  <c:v>USA</c:v>
                </c:pt>
              </c:strCache>
            </c:strRef>
          </c:cat>
          <c:val>
            <c:numRef>
              <c:f>'Pivot Tables'!$M$13:$M$23</c:f>
              <c:numCache>
                <c:formatCode>General</c:formatCode>
                <c:ptCount val="10"/>
                <c:pt idx="0">
                  <c:v>1050</c:v>
                </c:pt>
                <c:pt idx="1">
                  <c:v>740</c:v>
                </c:pt>
                <c:pt idx="2">
                  <c:v>3000</c:v>
                </c:pt>
                <c:pt idx="3">
                  <c:v>2040</c:v>
                </c:pt>
                <c:pt idx="4">
                  <c:v>870</c:v>
                </c:pt>
                <c:pt idx="5">
                  <c:v>780</c:v>
                </c:pt>
                <c:pt idx="6">
                  <c:v>970</c:v>
                </c:pt>
                <c:pt idx="7">
                  <c:v>3180</c:v>
                </c:pt>
                <c:pt idx="8">
                  <c:v>5440</c:v>
                </c:pt>
                <c:pt idx="9">
                  <c:v>7810</c:v>
                </c:pt>
              </c:numCache>
            </c:numRef>
          </c:val>
          <c:smooth val="0"/>
          <c:extLst>
            <c:ext xmlns:c16="http://schemas.microsoft.com/office/drawing/2014/chart" uri="{C3380CC4-5D6E-409C-BE32-E72D297353CC}">
              <c16:uniqueId val="{00000000-FF0D-47CE-9FB5-F028B337C9FB}"/>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76282256"/>
        <c:axId val="476285856"/>
      </c:lineChart>
      <c:catAx>
        <c:axId val="47628225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76285856"/>
        <c:crosses val="autoZero"/>
        <c:auto val="1"/>
        <c:lblAlgn val="ctr"/>
        <c:lblOffset val="100"/>
        <c:noMultiLvlLbl val="0"/>
      </c:catAx>
      <c:valAx>
        <c:axId val="476285856"/>
        <c:scaling>
          <c:orientation val="minMax"/>
        </c:scaling>
        <c:delete val="1"/>
        <c:axPos val="l"/>
        <c:numFmt formatCode="General" sourceLinked="1"/>
        <c:majorTickMark val="none"/>
        <c:minorTickMark val="none"/>
        <c:tickLblPos val="nextTo"/>
        <c:crossAx val="476282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Tables!PivotTable1</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ofPieChart>
        <c:ofPieType val="bar"/>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FF-4FCA-8BC6-875AF73C82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FF-4FCA-8BC6-875AF73C82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FF-4FCA-8BC6-875AF73C82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3FF-4FCA-8BC6-875AF73C827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3FF-4FCA-8BC6-875AF73C827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3FF-4FCA-8BC6-875AF73C827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3FF-4FCA-8BC6-875AF73C827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3FF-4FCA-8BC6-875AF73C827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3FF-4FCA-8BC6-875AF73C827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3FF-4FCA-8BC6-875AF73C827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3FF-4FCA-8BC6-875AF73C82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Tables'!$B$4:$B$14</c:f>
              <c:numCache>
                <c:formatCode>General</c:formatCode>
                <c:ptCount val="10"/>
                <c:pt idx="0">
                  <c:v>1710</c:v>
                </c:pt>
                <c:pt idx="1">
                  <c:v>2470</c:v>
                </c:pt>
                <c:pt idx="2">
                  <c:v>2770</c:v>
                </c:pt>
                <c:pt idx="3">
                  <c:v>2830</c:v>
                </c:pt>
                <c:pt idx="4">
                  <c:v>2350</c:v>
                </c:pt>
                <c:pt idx="5">
                  <c:v>2670</c:v>
                </c:pt>
                <c:pt idx="6">
                  <c:v>2990</c:v>
                </c:pt>
                <c:pt idx="7">
                  <c:v>2730</c:v>
                </c:pt>
                <c:pt idx="8">
                  <c:v>2850</c:v>
                </c:pt>
                <c:pt idx="9">
                  <c:v>2510</c:v>
                </c:pt>
              </c:numCache>
            </c:numRef>
          </c:val>
          <c:extLst>
            <c:ext xmlns:c16="http://schemas.microsoft.com/office/drawing/2014/chart" uri="{C3380CC4-5D6E-409C-BE32-E72D297353CC}">
              <c16:uniqueId val="{00000016-C3FF-4FCA-8BC6-875AF73C8276}"/>
            </c:ext>
          </c:extLst>
        </c:ser>
        <c:dLbls>
          <c:dLblPos val="outEnd"/>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Tables!PivotTable2</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09055244077879"/>
          <c:y val="6.8034086890633574E-2"/>
          <c:w val="0.71500299919386401"/>
          <c:h val="0.89782563143138094"/>
        </c:manualLayout>
      </c:layout>
      <c:barChart>
        <c:barDir val="bar"/>
        <c:grouping val="clustered"/>
        <c:varyColors val="0"/>
        <c:ser>
          <c:idx val="0"/>
          <c:order val="0"/>
          <c:tx>
            <c:strRef>
              <c:f>'Pivot Tables'!$F$4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Tables'!$E$5:$E$30</c:f>
              <c:strCache>
                <c:ptCount val="25"/>
                <c:pt idx="0">
                  <c:v>Adele</c:v>
                </c:pt>
                <c:pt idx="1">
                  <c:v>Alan Walker</c:v>
                </c:pt>
                <c:pt idx="2">
                  <c:v>Anirudh Ravichander</c:v>
                </c:pt>
                <c:pt idx="3">
                  <c:v>Bruno Mars</c:v>
                </c:pt>
                <c:pt idx="4">
                  <c:v>BTS</c:v>
                </c:pt>
                <c:pt idx="5">
                  <c:v>Drake</c:v>
                </c:pt>
                <c:pt idx="6">
                  <c:v>Dua Lipa</c:v>
                </c:pt>
                <c:pt idx="7">
                  <c:v>Ed Sheeran</c:v>
                </c:pt>
                <c:pt idx="8">
                  <c:v>Harry Styles</c:v>
                </c:pt>
                <c:pt idx="9">
                  <c:v>Imagine Dragons</c:v>
                </c:pt>
                <c:pt idx="10">
                  <c:v>Jason Derulo</c:v>
                </c:pt>
                <c:pt idx="11">
                  <c:v>Jungkook</c:v>
                </c:pt>
                <c:pt idx="12">
                  <c:v>Kendrick Lamar</c:v>
                </c:pt>
                <c:pt idx="13">
                  <c:v>Kid Laroi &amp; Bieber</c:v>
                </c:pt>
                <c:pt idx="14">
                  <c:v>Lil Nas X</c:v>
                </c:pt>
                <c:pt idx="15">
                  <c:v>Luis Fonsi</c:v>
                </c:pt>
                <c:pt idx="16">
                  <c:v>Miley Cyrus</c:v>
                </c:pt>
                <c:pt idx="17">
                  <c:v>Olivia Rodrigo</c:v>
                </c:pt>
                <c:pt idx="18">
                  <c:v>Post Malone</c:v>
                </c:pt>
                <c:pt idx="19">
                  <c:v>Rema</c:v>
                </c:pt>
                <c:pt idx="20">
                  <c:v>Rihanna</c:v>
                </c:pt>
                <c:pt idx="21">
                  <c:v>Sai Abhyankkar</c:v>
                </c:pt>
                <c:pt idx="22">
                  <c:v>Sam Smith</c:v>
                </c:pt>
                <c:pt idx="23">
                  <c:v>Shawn Mendes</c:v>
                </c:pt>
                <c:pt idx="24">
                  <c:v>The Weeknd</c:v>
                </c:pt>
              </c:strCache>
            </c:strRef>
          </c:cat>
          <c:val>
            <c:numRef>
              <c:f>'Pivot Tables'!$F$5:$F$30</c:f>
              <c:numCache>
                <c:formatCode>General</c:formatCode>
                <c:ptCount val="25"/>
                <c:pt idx="0">
                  <c:v>890</c:v>
                </c:pt>
                <c:pt idx="1">
                  <c:v>780</c:v>
                </c:pt>
                <c:pt idx="2">
                  <c:v>1350</c:v>
                </c:pt>
                <c:pt idx="3">
                  <c:v>820</c:v>
                </c:pt>
                <c:pt idx="4">
                  <c:v>2100</c:v>
                </c:pt>
                <c:pt idx="5">
                  <c:v>950</c:v>
                </c:pt>
                <c:pt idx="6">
                  <c:v>920</c:v>
                </c:pt>
                <c:pt idx="7">
                  <c:v>1970</c:v>
                </c:pt>
                <c:pt idx="8">
                  <c:v>810</c:v>
                </c:pt>
                <c:pt idx="9">
                  <c:v>770</c:v>
                </c:pt>
                <c:pt idx="10">
                  <c:v>720</c:v>
                </c:pt>
                <c:pt idx="11">
                  <c:v>1080</c:v>
                </c:pt>
                <c:pt idx="12">
                  <c:v>880</c:v>
                </c:pt>
                <c:pt idx="13">
                  <c:v>1050</c:v>
                </c:pt>
                <c:pt idx="14">
                  <c:v>1870</c:v>
                </c:pt>
                <c:pt idx="15">
                  <c:v>970</c:v>
                </c:pt>
                <c:pt idx="16">
                  <c:v>920</c:v>
                </c:pt>
                <c:pt idx="17">
                  <c:v>960</c:v>
                </c:pt>
                <c:pt idx="18">
                  <c:v>870</c:v>
                </c:pt>
                <c:pt idx="19">
                  <c:v>870</c:v>
                </c:pt>
                <c:pt idx="20">
                  <c:v>740</c:v>
                </c:pt>
                <c:pt idx="21">
                  <c:v>690</c:v>
                </c:pt>
                <c:pt idx="22">
                  <c:v>850</c:v>
                </c:pt>
                <c:pt idx="23">
                  <c:v>910</c:v>
                </c:pt>
                <c:pt idx="24">
                  <c:v>1140</c:v>
                </c:pt>
              </c:numCache>
            </c:numRef>
          </c:val>
          <c:extLst>
            <c:ext xmlns:c16="http://schemas.microsoft.com/office/drawing/2014/chart" uri="{C3380CC4-5D6E-409C-BE32-E72D297353CC}">
              <c16:uniqueId val="{00000000-D0F5-49ED-BCDE-0CFA29A90EDA}"/>
            </c:ext>
          </c:extLst>
        </c:ser>
        <c:dLbls>
          <c:dLblPos val="outEnd"/>
          <c:showLegendKey val="0"/>
          <c:showVal val="1"/>
          <c:showCatName val="0"/>
          <c:showSerName val="0"/>
          <c:showPercent val="0"/>
          <c:showBubbleSize val="0"/>
        </c:dLbls>
        <c:gapWidth val="52"/>
        <c:axId val="530332352"/>
        <c:axId val="530334152"/>
      </c:barChart>
      <c:catAx>
        <c:axId val="53033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334152"/>
        <c:crosses val="autoZero"/>
        <c:auto val="1"/>
        <c:lblAlgn val="ctr"/>
        <c:lblOffset val="100"/>
        <c:noMultiLvlLbl val="0"/>
      </c:catAx>
      <c:valAx>
        <c:axId val="530334152"/>
        <c:scaling>
          <c:orientation val="minMax"/>
        </c:scaling>
        <c:delete val="1"/>
        <c:axPos val="b"/>
        <c:numFmt formatCode="General" sourceLinked="1"/>
        <c:majorTickMark val="none"/>
        <c:minorTickMark val="none"/>
        <c:tickLblPos val="nextTo"/>
        <c:crossAx val="530332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337926509186357E-2"/>
          <c:y val="8.3333333333333329E-2"/>
          <c:w val="0.91699540682414693"/>
          <c:h val="0.72852143482064746"/>
        </c:manualLayout>
      </c:layout>
      <c:barChart>
        <c:barDir val="col"/>
        <c:grouping val="clustered"/>
        <c:varyColors val="0"/>
        <c:ser>
          <c:idx val="0"/>
          <c:order val="0"/>
          <c:tx>
            <c:strRef>
              <c:f>'Pivot Tables'!$J$4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Tables'!$I$5:$I$15</c:f>
              <c:strCache>
                <c:ptCount val="10"/>
                <c:pt idx="0">
                  <c:v>Afrobeats</c:v>
                </c:pt>
                <c:pt idx="1">
                  <c:v>Country</c:v>
                </c:pt>
                <c:pt idx="2">
                  <c:v>EDM</c:v>
                </c:pt>
                <c:pt idx="3">
                  <c:v>Hip-Hop</c:v>
                </c:pt>
                <c:pt idx="4">
                  <c:v>K-Pop</c:v>
                </c:pt>
                <c:pt idx="5">
                  <c:v>Pop</c:v>
                </c:pt>
                <c:pt idx="6">
                  <c:v>R&amp;B</c:v>
                </c:pt>
                <c:pt idx="7">
                  <c:v>Reggaeton</c:v>
                </c:pt>
                <c:pt idx="8">
                  <c:v>Rock</c:v>
                </c:pt>
                <c:pt idx="9">
                  <c:v>Tamil Pop</c:v>
                </c:pt>
              </c:strCache>
            </c:strRef>
          </c:cat>
          <c:val>
            <c:numRef>
              <c:f>'Pivot Tables'!$J$5:$J$15</c:f>
              <c:numCache>
                <c:formatCode>General</c:formatCode>
                <c:ptCount val="10"/>
                <c:pt idx="0">
                  <c:v>870</c:v>
                </c:pt>
                <c:pt idx="1">
                  <c:v>930</c:v>
                </c:pt>
                <c:pt idx="2">
                  <c:v>780</c:v>
                </c:pt>
                <c:pt idx="3">
                  <c:v>3640</c:v>
                </c:pt>
                <c:pt idx="4">
                  <c:v>3180</c:v>
                </c:pt>
                <c:pt idx="5">
                  <c:v>10820</c:v>
                </c:pt>
                <c:pt idx="6">
                  <c:v>1880</c:v>
                </c:pt>
                <c:pt idx="7">
                  <c:v>970</c:v>
                </c:pt>
                <c:pt idx="8">
                  <c:v>770</c:v>
                </c:pt>
                <c:pt idx="9">
                  <c:v>2040</c:v>
                </c:pt>
              </c:numCache>
            </c:numRef>
          </c:val>
          <c:extLst>
            <c:ext xmlns:c16="http://schemas.microsoft.com/office/drawing/2014/chart" uri="{C3380CC4-5D6E-409C-BE32-E72D297353CC}">
              <c16:uniqueId val="{00000000-C289-4D4C-BA57-7042D544DC5E}"/>
            </c:ext>
          </c:extLst>
        </c:ser>
        <c:dLbls>
          <c:showLegendKey val="0"/>
          <c:showVal val="0"/>
          <c:showCatName val="0"/>
          <c:showSerName val="0"/>
          <c:showPercent val="0"/>
          <c:showBubbleSize val="0"/>
        </c:dLbls>
        <c:gapWidth val="76"/>
        <c:overlap val="-27"/>
        <c:axId val="563354224"/>
        <c:axId val="563354944"/>
      </c:barChart>
      <c:catAx>
        <c:axId val="56335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354944"/>
        <c:crosses val="autoZero"/>
        <c:auto val="1"/>
        <c:lblAlgn val="ctr"/>
        <c:lblOffset val="100"/>
        <c:noMultiLvlLbl val="0"/>
      </c:catAx>
      <c:valAx>
        <c:axId val="563354944"/>
        <c:scaling>
          <c:orientation val="minMax"/>
        </c:scaling>
        <c:delete val="1"/>
        <c:axPos val="l"/>
        <c:numFmt formatCode="General" sourceLinked="1"/>
        <c:majorTickMark val="none"/>
        <c:minorTickMark val="none"/>
        <c:tickLblPos val="nextTo"/>
        <c:crossAx val="56335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Tables!PivotTable1</c:name>
    <c:fmtId val="6"/>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Streams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ofPieChart>
        <c:ofPieType val="bar"/>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2-AD9E-4B6B-9FA3-3E27D745F8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Tables'!$B$4:$B$14</c:f>
              <c:numCache>
                <c:formatCode>General</c:formatCode>
                <c:ptCount val="10"/>
                <c:pt idx="0">
                  <c:v>1710</c:v>
                </c:pt>
                <c:pt idx="1">
                  <c:v>2470</c:v>
                </c:pt>
                <c:pt idx="2">
                  <c:v>2770</c:v>
                </c:pt>
                <c:pt idx="3">
                  <c:v>2830</c:v>
                </c:pt>
                <c:pt idx="4">
                  <c:v>2350</c:v>
                </c:pt>
                <c:pt idx="5">
                  <c:v>2670</c:v>
                </c:pt>
                <c:pt idx="6">
                  <c:v>2990</c:v>
                </c:pt>
                <c:pt idx="7">
                  <c:v>2730</c:v>
                </c:pt>
                <c:pt idx="8">
                  <c:v>2850</c:v>
                </c:pt>
                <c:pt idx="9">
                  <c:v>2510</c:v>
                </c:pt>
              </c:numCache>
            </c:numRef>
          </c:val>
          <c:extLst>
            <c:ext xmlns:c16="http://schemas.microsoft.com/office/drawing/2014/chart" uri="{C3380CC4-5D6E-409C-BE32-E72D297353CC}">
              <c16:uniqueId val="{00000000-AD9E-4B6B-9FA3-3E27D745F8D1}"/>
            </c:ext>
          </c:extLst>
        </c:ser>
        <c:dLbls>
          <c:dLblPos val="outEnd"/>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30926276770733"/>
          <c:y val="6.8034086890633574E-2"/>
          <c:w val="0.71500299919386401"/>
          <c:h val="0.89782563143138094"/>
        </c:manualLayout>
      </c:layout>
      <c:barChart>
        <c:barDir val="bar"/>
        <c:grouping val="clustered"/>
        <c:varyColors val="0"/>
        <c:ser>
          <c:idx val="0"/>
          <c:order val="0"/>
          <c:tx>
            <c:strRef>
              <c:f>'Pivot Tables'!$F$4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Tables'!$E$5:$E$30</c:f>
              <c:strCache>
                <c:ptCount val="25"/>
                <c:pt idx="0">
                  <c:v>Adele</c:v>
                </c:pt>
                <c:pt idx="1">
                  <c:v>Alan Walker</c:v>
                </c:pt>
                <c:pt idx="2">
                  <c:v>Anirudh Ravichander</c:v>
                </c:pt>
                <c:pt idx="3">
                  <c:v>Bruno Mars</c:v>
                </c:pt>
                <c:pt idx="4">
                  <c:v>BTS</c:v>
                </c:pt>
                <c:pt idx="5">
                  <c:v>Drake</c:v>
                </c:pt>
                <c:pt idx="6">
                  <c:v>Dua Lipa</c:v>
                </c:pt>
                <c:pt idx="7">
                  <c:v>Ed Sheeran</c:v>
                </c:pt>
                <c:pt idx="8">
                  <c:v>Harry Styles</c:v>
                </c:pt>
                <c:pt idx="9">
                  <c:v>Imagine Dragons</c:v>
                </c:pt>
                <c:pt idx="10">
                  <c:v>Jason Derulo</c:v>
                </c:pt>
                <c:pt idx="11">
                  <c:v>Jungkook</c:v>
                </c:pt>
                <c:pt idx="12">
                  <c:v>Kendrick Lamar</c:v>
                </c:pt>
                <c:pt idx="13">
                  <c:v>Kid Laroi &amp; Bieber</c:v>
                </c:pt>
                <c:pt idx="14">
                  <c:v>Lil Nas X</c:v>
                </c:pt>
                <c:pt idx="15">
                  <c:v>Luis Fonsi</c:v>
                </c:pt>
                <c:pt idx="16">
                  <c:v>Miley Cyrus</c:v>
                </c:pt>
                <c:pt idx="17">
                  <c:v>Olivia Rodrigo</c:v>
                </c:pt>
                <c:pt idx="18">
                  <c:v>Post Malone</c:v>
                </c:pt>
                <c:pt idx="19">
                  <c:v>Rema</c:v>
                </c:pt>
                <c:pt idx="20">
                  <c:v>Rihanna</c:v>
                </c:pt>
                <c:pt idx="21">
                  <c:v>Sai Abhyankkar</c:v>
                </c:pt>
                <c:pt idx="22">
                  <c:v>Sam Smith</c:v>
                </c:pt>
                <c:pt idx="23">
                  <c:v>Shawn Mendes</c:v>
                </c:pt>
                <c:pt idx="24">
                  <c:v>The Weeknd</c:v>
                </c:pt>
              </c:strCache>
            </c:strRef>
          </c:cat>
          <c:val>
            <c:numRef>
              <c:f>'Pivot Tables'!$F$5:$F$30</c:f>
              <c:numCache>
                <c:formatCode>General</c:formatCode>
                <c:ptCount val="25"/>
                <c:pt idx="0">
                  <c:v>890</c:v>
                </c:pt>
                <c:pt idx="1">
                  <c:v>780</c:v>
                </c:pt>
                <c:pt idx="2">
                  <c:v>1350</c:v>
                </c:pt>
                <c:pt idx="3">
                  <c:v>820</c:v>
                </c:pt>
                <c:pt idx="4">
                  <c:v>2100</c:v>
                </c:pt>
                <c:pt idx="5">
                  <c:v>950</c:v>
                </c:pt>
                <c:pt idx="6">
                  <c:v>920</c:v>
                </c:pt>
                <c:pt idx="7">
                  <c:v>1970</c:v>
                </c:pt>
                <c:pt idx="8">
                  <c:v>810</c:v>
                </c:pt>
                <c:pt idx="9">
                  <c:v>770</c:v>
                </c:pt>
                <c:pt idx="10">
                  <c:v>720</c:v>
                </c:pt>
                <c:pt idx="11">
                  <c:v>1080</c:v>
                </c:pt>
                <c:pt idx="12">
                  <c:v>880</c:v>
                </c:pt>
                <c:pt idx="13">
                  <c:v>1050</c:v>
                </c:pt>
                <c:pt idx="14">
                  <c:v>1870</c:v>
                </c:pt>
                <c:pt idx="15">
                  <c:v>970</c:v>
                </c:pt>
                <c:pt idx="16">
                  <c:v>920</c:v>
                </c:pt>
                <c:pt idx="17">
                  <c:v>960</c:v>
                </c:pt>
                <c:pt idx="18">
                  <c:v>870</c:v>
                </c:pt>
                <c:pt idx="19">
                  <c:v>870</c:v>
                </c:pt>
                <c:pt idx="20">
                  <c:v>740</c:v>
                </c:pt>
                <c:pt idx="21">
                  <c:v>690</c:v>
                </c:pt>
                <c:pt idx="22">
                  <c:v>850</c:v>
                </c:pt>
                <c:pt idx="23">
                  <c:v>910</c:v>
                </c:pt>
                <c:pt idx="24">
                  <c:v>1140</c:v>
                </c:pt>
              </c:numCache>
            </c:numRef>
          </c:val>
          <c:extLst>
            <c:ext xmlns:c16="http://schemas.microsoft.com/office/drawing/2014/chart" uri="{C3380CC4-5D6E-409C-BE32-E72D297353CC}">
              <c16:uniqueId val="{00000000-BA4C-43A1-BA4F-CFCC877DC50A}"/>
            </c:ext>
          </c:extLst>
        </c:ser>
        <c:dLbls>
          <c:dLblPos val="outEnd"/>
          <c:showLegendKey val="0"/>
          <c:showVal val="1"/>
          <c:showCatName val="0"/>
          <c:showSerName val="0"/>
          <c:showPercent val="0"/>
          <c:showBubbleSize val="0"/>
        </c:dLbls>
        <c:gapWidth val="52"/>
        <c:axId val="530332352"/>
        <c:axId val="530334152"/>
      </c:barChart>
      <c:catAx>
        <c:axId val="53033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334152"/>
        <c:crosses val="autoZero"/>
        <c:auto val="1"/>
        <c:lblAlgn val="ctr"/>
        <c:lblOffset val="100"/>
        <c:noMultiLvlLbl val="0"/>
      </c:catAx>
      <c:valAx>
        <c:axId val="530334152"/>
        <c:scaling>
          <c:orientation val="minMax"/>
        </c:scaling>
        <c:delete val="1"/>
        <c:axPos val="b"/>
        <c:numFmt formatCode="General" sourceLinked="1"/>
        <c:majorTickMark val="none"/>
        <c:minorTickMark val="none"/>
        <c:tickLblPos val="nextTo"/>
        <c:crossAx val="530332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782370953630808E-2"/>
          <c:y val="7.407407407407407E-2"/>
          <c:w val="0.91699540682414693"/>
          <c:h val="0.72852143482064746"/>
        </c:manualLayout>
      </c:layout>
      <c:barChart>
        <c:barDir val="col"/>
        <c:grouping val="clustered"/>
        <c:varyColors val="0"/>
        <c:ser>
          <c:idx val="0"/>
          <c:order val="0"/>
          <c:tx>
            <c:strRef>
              <c:f>'Pivot Tables'!$J$4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Tables'!$I$5:$I$15</c:f>
              <c:strCache>
                <c:ptCount val="10"/>
                <c:pt idx="0">
                  <c:v>Afrobeats</c:v>
                </c:pt>
                <c:pt idx="1">
                  <c:v>Country</c:v>
                </c:pt>
                <c:pt idx="2">
                  <c:v>EDM</c:v>
                </c:pt>
                <c:pt idx="3">
                  <c:v>Hip-Hop</c:v>
                </c:pt>
                <c:pt idx="4">
                  <c:v>K-Pop</c:v>
                </c:pt>
                <c:pt idx="5">
                  <c:v>Pop</c:v>
                </c:pt>
                <c:pt idx="6">
                  <c:v>R&amp;B</c:v>
                </c:pt>
                <c:pt idx="7">
                  <c:v>Reggaeton</c:v>
                </c:pt>
                <c:pt idx="8">
                  <c:v>Rock</c:v>
                </c:pt>
                <c:pt idx="9">
                  <c:v>Tamil Pop</c:v>
                </c:pt>
              </c:strCache>
            </c:strRef>
          </c:cat>
          <c:val>
            <c:numRef>
              <c:f>'Pivot Tables'!$J$5:$J$15</c:f>
              <c:numCache>
                <c:formatCode>General</c:formatCode>
                <c:ptCount val="10"/>
                <c:pt idx="0">
                  <c:v>870</c:v>
                </c:pt>
                <c:pt idx="1">
                  <c:v>930</c:v>
                </c:pt>
                <c:pt idx="2">
                  <c:v>780</c:v>
                </c:pt>
                <c:pt idx="3">
                  <c:v>3640</c:v>
                </c:pt>
                <c:pt idx="4">
                  <c:v>3180</c:v>
                </c:pt>
                <c:pt idx="5">
                  <c:v>10820</c:v>
                </c:pt>
                <c:pt idx="6">
                  <c:v>1880</c:v>
                </c:pt>
                <c:pt idx="7">
                  <c:v>970</c:v>
                </c:pt>
                <c:pt idx="8">
                  <c:v>770</c:v>
                </c:pt>
                <c:pt idx="9">
                  <c:v>2040</c:v>
                </c:pt>
              </c:numCache>
            </c:numRef>
          </c:val>
          <c:extLst>
            <c:ext xmlns:c16="http://schemas.microsoft.com/office/drawing/2014/chart" uri="{C3380CC4-5D6E-409C-BE32-E72D297353CC}">
              <c16:uniqueId val="{00000000-6F70-4A83-B68C-FDADA0EA2499}"/>
            </c:ext>
          </c:extLst>
        </c:ser>
        <c:dLbls>
          <c:showLegendKey val="0"/>
          <c:showVal val="0"/>
          <c:showCatName val="0"/>
          <c:showSerName val="0"/>
          <c:showPercent val="0"/>
          <c:showBubbleSize val="0"/>
        </c:dLbls>
        <c:gapWidth val="76"/>
        <c:overlap val="-27"/>
        <c:axId val="563354224"/>
        <c:axId val="563354944"/>
      </c:barChart>
      <c:catAx>
        <c:axId val="56335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354944"/>
        <c:crosses val="autoZero"/>
        <c:auto val="1"/>
        <c:lblAlgn val="ctr"/>
        <c:lblOffset val="100"/>
        <c:noMultiLvlLbl val="0"/>
      </c:catAx>
      <c:valAx>
        <c:axId val="563354944"/>
        <c:scaling>
          <c:orientation val="minMax"/>
        </c:scaling>
        <c:delete val="1"/>
        <c:axPos val="l"/>
        <c:numFmt formatCode="General" sourceLinked="1"/>
        <c:majorTickMark val="none"/>
        <c:minorTickMark val="none"/>
        <c:tickLblPos val="nextTo"/>
        <c:crossAx val="56335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Tables!PivotTable4</c:name>
    <c:fmtId val="0"/>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02580927384075E-2"/>
          <c:y val="7.407407407407407E-2"/>
          <c:w val="0.90625174978127732"/>
          <c:h val="0.67409776902887142"/>
        </c:manualLayout>
      </c:layout>
      <c:lineChart>
        <c:grouping val="standard"/>
        <c:varyColors val="0"/>
        <c:ser>
          <c:idx val="0"/>
          <c:order val="0"/>
          <c:tx>
            <c:strRef>
              <c:f>'Pivot Tables'!$M$12</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Tables'!$L$13:$L$23</c:f>
              <c:strCache>
                <c:ptCount val="10"/>
                <c:pt idx="0">
                  <c:v>Australia</c:v>
                </c:pt>
                <c:pt idx="1">
                  <c:v>Barbados</c:v>
                </c:pt>
                <c:pt idx="2">
                  <c:v>Canada</c:v>
                </c:pt>
                <c:pt idx="3">
                  <c:v>India</c:v>
                </c:pt>
                <c:pt idx="4">
                  <c:v>Nigeria</c:v>
                </c:pt>
                <c:pt idx="5">
                  <c:v>Norway</c:v>
                </c:pt>
                <c:pt idx="6">
                  <c:v>Puerto Rico</c:v>
                </c:pt>
                <c:pt idx="7">
                  <c:v>South Korea</c:v>
                </c:pt>
                <c:pt idx="8">
                  <c:v>UK</c:v>
                </c:pt>
                <c:pt idx="9">
                  <c:v>USA</c:v>
                </c:pt>
              </c:strCache>
            </c:strRef>
          </c:cat>
          <c:val>
            <c:numRef>
              <c:f>'Pivot Tables'!$M$13:$M$23</c:f>
              <c:numCache>
                <c:formatCode>General</c:formatCode>
                <c:ptCount val="10"/>
                <c:pt idx="0">
                  <c:v>1050</c:v>
                </c:pt>
                <c:pt idx="1">
                  <c:v>740</c:v>
                </c:pt>
                <c:pt idx="2">
                  <c:v>3000</c:v>
                </c:pt>
                <c:pt idx="3">
                  <c:v>2040</c:v>
                </c:pt>
                <c:pt idx="4">
                  <c:v>870</c:v>
                </c:pt>
                <c:pt idx="5">
                  <c:v>780</c:v>
                </c:pt>
                <c:pt idx="6">
                  <c:v>970</c:v>
                </c:pt>
                <c:pt idx="7">
                  <c:v>3180</c:v>
                </c:pt>
                <c:pt idx="8">
                  <c:v>5440</c:v>
                </c:pt>
                <c:pt idx="9">
                  <c:v>7810</c:v>
                </c:pt>
              </c:numCache>
            </c:numRef>
          </c:val>
          <c:smooth val="0"/>
          <c:extLst>
            <c:ext xmlns:c16="http://schemas.microsoft.com/office/drawing/2014/chart" uri="{C3380CC4-5D6E-409C-BE32-E72D297353CC}">
              <c16:uniqueId val="{00000000-7B18-4C46-AED1-31D2DF679919}"/>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76282256"/>
        <c:axId val="476285856"/>
      </c:lineChart>
      <c:catAx>
        <c:axId val="47628225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76285856"/>
        <c:crosses val="autoZero"/>
        <c:auto val="1"/>
        <c:lblAlgn val="ctr"/>
        <c:lblOffset val="100"/>
        <c:noMultiLvlLbl val="0"/>
      </c:catAx>
      <c:valAx>
        <c:axId val="476285856"/>
        <c:scaling>
          <c:orientation val="minMax"/>
        </c:scaling>
        <c:delete val="1"/>
        <c:axPos val="l"/>
        <c:numFmt formatCode="General" sourceLinked="1"/>
        <c:majorTickMark val="none"/>
        <c:minorTickMark val="none"/>
        <c:tickLblPos val="nextTo"/>
        <c:crossAx val="476282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9338</xdr:rowOff>
    </xdr:from>
    <xdr:to>
      <xdr:col>13</xdr:col>
      <xdr:colOff>587189</xdr:colOff>
      <xdr:row>4</xdr:row>
      <xdr:rowOff>60138</xdr:rowOff>
    </xdr:to>
    <xdr:sp macro="" textlink="">
      <xdr:nvSpPr>
        <xdr:cNvPr id="6" name="Rectangle: Rounded Corners 5">
          <a:extLst>
            <a:ext uri="{FF2B5EF4-FFF2-40B4-BE49-F238E27FC236}">
              <a16:creationId xmlns:a16="http://schemas.microsoft.com/office/drawing/2014/main" id="{7B2F31D7-82F5-6239-F96C-49AF108192A2}"/>
            </a:ext>
          </a:extLst>
        </xdr:cNvPr>
        <xdr:cNvSpPr/>
      </xdr:nvSpPr>
      <xdr:spPr>
        <a:xfrm>
          <a:off x="0" y="9338"/>
          <a:ext cx="9215718" cy="797859"/>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tx2">
                  <a:lumMod val="60000"/>
                  <a:lumOff val="40000"/>
                </a:schemeClr>
              </a:solidFill>
              <a:latin typeface="Bell MT" panose="02020503060305020303" pitchFamily="18" charset="0"/>
            </a:rPr>
            <a:t>Cultural</a:t>
          </a:r>
          <a:r>
            <a:rPr lang="en-US" sz="2400" baseline="0">
              <a:solidFill>
                <a:schemeClr val="tx2">
                  <a:lumMod val="60000"/>
                  <a:lumOff val="40000"/>
                </a:schemeClr>
              </a:solidFill>
              <a:latin typeface="Bell MT" panose="02020503060305020303" pitchFamily="18" charset="0"/>
            </a:rPr>
            <a:t> Trend Analysis in Music Explore streaming data</a:t>
          </a:r>
          <a:endParaRPr lang="en-US" sz="2400">
            <a:solidFill>
              <a:schemeClr val="tx2">
                <a:lumMod val="60000"/>
                <a:lumOff val="40000"/>
              </a:schemeClr>
            </a:solidFill>
            <a:latin typeface="Bell MT" panose="02020503060305020303" pitchFamily="18" charset="0"/>
          </a:endParaRPr>
        </a:p>
      </xdr:txBody>
    </xdr:sp>
    <xdr:clientData/>
  </xdr:twoCellAnchor>
  <xdr:twoCellAnchor editAs="oneCell">
    <xdr:from>
      <xdr:col>17</xdr:col>
      <xdr:colOff>205816</xdr:colOff>
      <xdr:row>0</xdr:row>
      <xdr:rowOff>78067</xdr:rowOff>
    </xdr:from>
    <xdr:to>
      <xdr:col>20</xdr:col>
      <xdr:colOff>205815</xdr:colOff>
      <xdr:row>8</xdr:row>
      <xdr:rowOff>103466</xdr:rowOff>
    </xdr:to>
    <mc:AlternateContent xmlns:mc="http://schemas.openxmlformats.org/markup-compatibility/2006">
      <mc:Choice xmlns:a14="http://schemas.microsoft.com/office/drawing/2010/main" Requires="a14">
        <xdr:graphicFrame macro="">
          <xdr:nvGraphicFramePr>
            <xdr:cNvPr id="7" name="Year 1">
              <a:extLst>
                <a:ext uri="{FF2B5EF4-FFF2-40B4-BE49-F238E27FC236}">
                  <a16:creationId xmlns:a16="http://schemas.microsoft.com/office/drawing/2014/main" id="{159787CF-3836-4760-B958-B6D30396042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284698" y="78067"/>
              <a:ext cx="1837764" cy="1519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175932</xdr:colOff>
      <xdr:row>0</xdr:row>
      <xdr:rowOff>29136</xdr:rowOff>
    </xdr:from>
    <xdr:to>
      <xdr:col>17</xdr:col>
      <xdr:colOff>165100</xdr:colOff>
      <xdr:row>15</xdr:row>
      <xdr:rowOff>73585</xdr:rowOff>
    </xdr:to>
    <mc:AlternateContent xmlns:mc="http://schemas.openxmlformats.org/markup-compatibility/2006">
      <mc:Choice xmlns:a14="http://schemas.microsoft.com/office/drawing/2010/main" Requires="a14">
        <xdr:graphicFrame macro="">
          <xdr:nvGraphicFramePr>
            <xdr:cNvPr id="9" name="Genre 1">
              <a:extLst>
                <a:ext uri="{FF2B5EF4-FFF2-40B4-BE49-F238E27FC236}">
                  <a16:creationId xmlns:a16="http://schemas.microsoft.com/office/drawing/2014/main" id="{86925750-8E44-43A3-A5DA-CFB46409F5B8}"/>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dr:sp macro="" textlink="">
          <xdr:nvSpPr>
            <xdr:cNvPr id="0" name=""/>
            <xdr:cNvSpPr>
              <a:spLocks noTextEdit="1"/>
            </xdr:cNvSpPr>
          </xdr:nvSpPr>
          <xdr:spPr>
            <a:xfrm>
              <a:off x="9417050" y="29136"/>
              <a:ext cx="1826932" cy="28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177800</xdr:colOff>
      <xdr:row>15</xdr:row>
      <xdr:rowOff>81429</xdr:rowOff>
    </xdr:from>
    <xdr:to>
      <xdr:col>17</xdr:col>
      <xdr:colOff>174439</xdr:colOff>
      <xdr:row>29</xdr:row>
      <xdr:rowOff>27455</xdr:rowOff>
    </xdr:to>
    <mc:AlternateContent xmlns:mc="http://schemas.openxmlformats.org/markup-compatibility/2006">
      <mc:Choice xmlns:a14="http://schemas.microsoft.com/office/drawing/2010/main" Requires="a14">
        <xdr:graphicFrame macro="">
          <xdr:nvGraphicFramePr>
            <xdr:cNvPr id="10" name="Country 1">
              <a:extLst>
                <a:ext uri="{FF2B5EF4-FFF2-40B4-BE49-F238E27FC236}">
                  <a16:creationId xmlns:a16="http://schemas.microsoft.com/office/drawing/2014/main" id="{3636BC8A-2BB4-48AA-AC49-CFDDC3F37A2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9418918" y="2882900"/>
              <a:ext cx="1834403" cy="25607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7471</xdr:colOff>
      <xdr:row>3</xdr:row>
      <xdr:rowOff>37352</xdr:rowOff>
    </xdr:from>
    <xdr:to>
      <xdr:col>6</xdr:col>
      <xdr:colOff>470648</xdr:colOff>
      <xdr:row>22</xdr:row>
      <xdr:rowOff>186763</xdr:rowOff>
    </xdr:to>
    <xdr:sp macro="" textlink="">
      <xdr:nvSpPr>
        <xdr:cNvPr id="11" name="Rectangle: Rounded Corners 10">
          <a:extLst>
            <a:ext uri="{FF2B5EF4-FFF2-40B4-BE49-F238E27FC236}">
              <a16:creationId xmlns:a16="http://schemas.microsoft.com/office/drawing/2014/main" id="{524783E9-0B3F-1D1B-09C2-2FA9490F57FC}"/>
            </a:ext>
          </a:extLst>
        </xdr:cNvPr>
        <xdr:cNvSpPr/>
      </xdr:nvSpPr>
      <xdr:spPr>
        <a:xfrm>
          <a:off x="7471" y="597646"/>
          <a:ext cx="4803589" cy="36979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aseline="0"/>
            <a:t>                </a:t>
          </a:r>
          <a:r>
            <a:rPr lang="en-US" sz="1600" b="1" baseline="0">
              <a:solidFill>
                <a:schemeClr val="tx2">
                  <a:lumMod val="60000"/>
                  <a:lumOff val="40000"/>
                </a:schemeClr>
              </a:solidFill>
            </a:rPr>
            <a:t>Sum of Streams</a:t>
          </a:r>
          <a:endParaRPr lang="en-US" sz="1600" b="1"/>
        </a:p>
      </xdr:txBody>
    </xdr:sp>
    <xdr:clientData/>
  </xdr:twoCellAnchor>
  <xdr:twoCellAnchor>
    <xdr:from>
      <xdr:col>0</xdr:col>
      <xdr:colOff>37353</xdr:colOff>
      <xdr:row>6</xdr:row>
      <xdr:rowOff>171824</xdr:rowOff>
    </xdr:from>
    <xdr:to>
      <xdr:col>6</xdr:col>
      <xdr:colOff>268941</xdr:colOff>
      <xdr:row>21</xdr:row>
      <xdr:rowOff>113553</xdr:rowOff>
    </xdr:to>
    <xdr:graphicFrame macro="">
      <xdr:nvGraphicFramePr>
        <xdr:cNvPr id="12" name="Chart 11">
          <a:extLst>
            <a:ext uri="{FF2B5EF4-FFF2-40B4-BE49-F238E27FC236}">
              <a16:creationId xmlns:a16="http://schemas.microsoft.com/office/drawing/2014/main" id="{7D6662E4-9B72-4E8B-8DE9-55C0BF829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470647</xdr:colOff>
      <xdr:row>7</xdr:row>
      <xdr:rowOff>0</xdr:rowOff>
    </xdr:from>
    <xdr:to>
      <xdr:col>14</xdr:col>
      <xdr:colOff>143673</xdr:colOff>
      <xdr:row>21</xdr:row>
      <xdr:rowOff>128494</xdr:rowOff>
    </xdr:to>
    <xdr:graphicFrame macro="">
      <xdr:nvGraphicFramePr>
        <xdr:cNvPr id="13" name="Chart 12">
          <a:extLst>
            <a:ext uri="{FF2B5EF4-FFF2-40B4-BE49-F238E27FC236}">
              <a16:creationId xmlns:a16="http://schemas.microsoft.com/office/drawing/2014/main" id="{1ECE3661-9BA0-40D8-A548-24D42B379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29882</xdr:colOff>
      <xdr:row>23</xdr:row>
      <xdr:rowOff>0</xdr:rowOff>
    </xdr:from>
    <xdr:to>
      <xdr:col>6</xdr:col>
      <xdr:colOff>255697</xdr:colOff>
      <xdr:row>37</xdr:row>
      <xdr:rowOff>119835</xdr:rowOff>
    </xdr:to>
    <xdr:graphicFrame macro="">
      <xdr:nvGraphicFramePr>
        <xdr:cNvPr id="16" name="Chart 15">
          <a:extLst>
            <a:ext uri="{FF2B5EF4-FFF2-40B4-BE49-F238E27FC236}">
              <a16:creationId xmlns:a16="http://schemas.microsoft.com/office/drawing/2014/main" id="{87EDAAAD-DA3E-4711-A960-2E4088D71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455707</xdr:colOff>
      <xdr:row>23</xdr:row>
      <xdr:rowOff>0</xdr:rowOff>
    </xdr:from>
    <xdr:to>
      <xdr:col>14</xdr:col>
      <xdr:colOff>127001</xdr:colOff>
      <xdr:row>37</xdr:row>
      <xdr:rowOff>128494</xdr:rowOff>
    </xdr:to>
    <xdr:graphicFrame macro="">
      <xdr:nvGraphicFramePr>
        <xdr:cNvPr id="17" name="Chart 16">
          <a:extLst>
            <a:ext uri="{FF2B5EF4-FFF2-40B4-BE49-F238E27FC236}">
              <a16:creationId xmlns:a16="http://schemas.microsoft.com/office/drawing/2014/main" id="{72609035-3D9E-4DF7-B5CC-3947562CC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201705</xdr:colOff>
      <xdr:row>3</xdr:row>
      <xdr:rowOff>119529</xdr:rowOff>
    </xdr:from>
    <xdr:to>
      <xdr:col>14</xdr:col>
      <xdr:colOff>104588</xdr:colOff>
      <xdr:row>23</xdr:row>
      <xdr:rowOff>82176</xdr:rowOff>
    </xdr:to>
    <xdr:sp macro="" textlink="">
      <xdr:nvSpPr>
        <xdr:cNvPr id="18" name="Rectangle: Rounded Corners 17">
          <a:extLst>
            <a:ext uri="{FF2B5EF4-FFF2-40B4-BE49-F238E27FC236}">
              <a16:creationId xmlns:a16="http://schemas.microsoft.com/office/drawing/2014/main" id="{0BB9DBCA-6973-9BDF-8D6B-6C9F524E13B7}"/>
            </a:ext>
          </a:extLst>
        </xdr:cNvPr>
        <xdr:cNvSpPr/>
      </xdr:nvSpPr>
      <xdr:spPr>
        <a:xfrm>
          <a:off x="4542117" y="679823"/>
          <a:ext cx="4803589" cy="36979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aseline="0"/>
            <a:t>                </a:t>
          </a:r>
          <a:r>
            <a:rPr lang="en-US" sz="1600" b="1" baseline="0">
              <a:solidFill>
                <a:schemeClr val="tx2">
                  <a:lumMod val="60000"/>
                  <a:lumOff val="40000"/>
                </a:schemeClr>
              </a:solidFill>
            </a:rPr>
            <a:t>Chart of Streams</a:t>
          </a:r>
          <a:endParaRPr lang="en-US" sz="1600" b="1"/>
        </a:p>
      </xdr:txBody>
    </xdr:sp>
    <xdr:clientData/>
  </xdr:twoCellAnchor>
  <xdr:twoCellAnchor>
    <xdr:from>
      <xdr:col>0</xdr:col>
      <xdr:colOff>0</xdr:colOff>
      <xdr:row>20</xdr:row>
      <xdr:rowOff>97116</xdr:rowOff>
    </xdr:from>
    <xdr:to>
      <xdr:col>6</xdr:col>
      <xdr:colOff>463177</xdr:colOff>
      <xdr:row>40</xdr:row>
      <xdr:rowOff>59763</xdr:rowOff>
    </xdr:to>
    <xdr:sp macro="" textlink="">
      <xdr:nvSpPr>
        <xdr:cNvPr id="20" name="Rectangle: Rounded Corners 19">
          <a:extLst>
            <a:ext uri="{FF2B5EF4-FFF2-40B4-BE49-F238E27FC236}">
              <a16:creationId xmlns:a16="http://schemas.microsoft.com/office/drawing/2014/main" id="{AE0C00E0-6A80-A6C1-3ECC-5868211D978E}"/>
            </a:ext>
          </a:extLst>
        </xdr:cNvPr>
        <xdr:cNvSpPr/>
      </xdr:nvSpPr>
      <xdr:spPr>
        <a:xfrm>
          <a:off x="0" y="3832410"/>
          <a:ext cx="4803589" cy="36979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aseline="0"/>
            <a:t>                </a:t>
          </a:r>
          <a:r>
            <a:rPr lang="en-US" sz="1600" b="1" baseline="0">
              <a:solidFill>
                <a:schemeClr val="tx2">
                  <a:lumMod val="60000"/>
                  <a:lumOff val="40000"/>
                </a:schemeClr>
              </a:solidFill>
            </a:rPr>
            <a:t>Explore streaming data </a:t>
          </a:r>
          <a:endParaRPr lang="en-US" sz="1600" b="1"/>
        </a:p>
      </xdr:txBody>
    </xdr:sp>
    <xdr:clientData/>
  </xdr:twoCellAnchor>
  <xdr:twoCellAnchor>
    <xdr:from>
      <xdr:col>6</xdr:col>
      <xdr:colOff>179293</xdr:colOff>
      <xdr:row>20</xdr:row>
      <xdr:rowOff>97116</xdr:rowOff>
    </xdr:from>
    <xdr:to>
      <xdr:col>14</xdr:col>
      <xdr:colOff>82176</xdr:colOff>
      <xdr:row>40</xdr:row>
      <xdr:rowOff>59763</xdr:rowOff>
    </xdr:to>
    <xdr:sp macro="" textlink="">
      <xdr:nvSpPr>
        <xdr:cNvPr id="21" name="Rectangle: Rounded Corners 20">
          <a:extLst>
            <a:ext uri="{FF2B5EF4-FFF2-40B4-BE49-F238E27FC236}">
              <a16:creationId xmlns:a16="http://schemas.microsoft.com/office/drawing/2014/main" id="{E7A6A751-56D0-C6B8-591A-B9AA7F382C04}"/>
            </a:ext>
          </a:extLst>
        </xdr:cNvPr>
        <xdr:cNvSpPr/>
      </xdr:nvSpPr>
      <xdr:spPr>
        <a:xfrm>
          <a:off x="4519705" y="3832410"/>
          <a:ext cx="4803589" cy="36979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aseline="0"/>
            <a:t>                </a:t>
          </a:r>
          <a:r>
            <a:rPr lang="en-US" sz="1600" b="1" baseline="0">
              <a:solidFill>
                <a:schemeClr val="tx2">
                  <a:lumMod val="60000"/>
                  <a:lumOff val="40000"/>
                </a:schemeClr>
              </a:solidFill>
            </a:rPr>
            <a:t>Track and Artist data</a:t>
          </a:r>
          <a:endParaRPr lang="en-US" sz="16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309418</xdr:colOff>
      <xdr:row>33</xdr:row>
      <xdr:rowOff>28286</xdr:rowOff>
    </xdr:from>
    <xdr:to>
      <xdr:col>12</xdr:col>
      <xdr:colOff>101600</xdr:colOff>
      <xdr:row>48</xdr:row>
      <xdr:rowOff>9236</xdr:rowOff>
    </xdr:to>
    <xdr:graphicFrame macro="">
      <xdr:nvGraphicFramePr>
        <xdr:cNvPr id="2" name="Chart 1">
          <a:extLst>
            <a:ext uri="{FF2B5EF4-FFF2-40B4-BE49-F238E27FC236}">
              <a16:creationId xmlns:a16="http://schemas.microsoft.com/office/drawing/2014/main" id="{2E5E4195-CC72-E1CE-6E93-35210739D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340591</xdr:colOff>
      <xdr:row>31</xdr:row>
      <xdr:rowOff>147782</xdr:rowOff>
    </xdr:from>
    <xdr:to>
      <xdr:col>5</xdr:col>
      <xdr:colOff>1173018</xdr:colOff>
      <xdr:row>46</xdr:row>
      <xdr:rowOff>120073</xdr:rowOff>
    </xdr:to>
    <xdr:graphicFrame macro="">
      <xdr:nvGraphicFramePr>
        <xdr:cNvPr id="3" name="Chart 2">
          <a:extLst>
            <a:ext uri="{FF2B5EF4-FFF2-40B4-BE49-F238E27FC236}">
              <a16:creationId xmlns:a16="http://schemas.microsoft.com/office/drawing/2014/main" id="{7B58673F-FD38-9A72-9543-95B4F033E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34925</xdr:colOff>
      <xdr:row>40</xdr:row>
      <xdr:rowOff>177800</xdr:rowOff>
    </xdr:from>
    <xdr:to>
      <xdr:col>14</xdr:col>
      <xdr:colOff>73025</xdr:colOff>
      <xdr:row>55</xdr:row>
      <xdr:rowOff>158750</xdr:rowOff>
    </xdr:to>
    <xdr:graphicFrame macro="">
      <xdr:nvGraphicFramePr>
        <xdr:cNvPr id="4" name="Chart 3">
          <a:extLst>
            <a:ext uri="{FF2B5EF4-FFF2-40B4-BE49-F238E27FC236}">
              <a16:creationId xmlns:a16="http://schemas.microsoft.com/office/drawing/2014/main" id="{924248FB-4882-1CF5-369A-37A1832A4C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238125</xdr:colOff>
      <xdr:row>47</xdr:row>
      <xdr:rowOff>69850</xdr:rowOff>
    </xdr:from>
    <xdr:to>
      <xdr:col>5</xdr:col>
      <xdr:colOff>1076325</xdr:colOff>
      <xdr:row>62</xdr:row>
      <xdr:rowOff>50800</xdr:rowOff>
    </xdr:to>
    <xdr:graphicFrame macro="">
      <xdr:nvGraphicFramePr>
        <xdr:cNvPr id="5" name="Chart 4">
          <a:extLst>
            <a:ext uri="{FF2B5EF4-FFF2-40B4-BE49-F238E27FC236}">
              <a16:creationId xmlns:a16="http://schemas.microsoft.com/office/drawing/2014/main" id="{386BF263-D74A-9A93-B488-2728483B6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82550</xdr:colOff>
      <xdr:row>1</xdr:row>
      <xdr:rowOff>6351</xdr:rowOff>
    </xdr:from>
    <xdr:to>
      <xdr:col>4</xdr:col>
      <xdr:colOff>692150</xdr:colOff>
      <xdr:row>9</xdr:row>
      <xdr:rowOff>31751</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7E5F3941-23E9-5E13-E6ED-F32B72AF4B1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171700" y="190501"/>
              <a:ext cx="1828800" cy="1498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361950</xdr:colOff>
      <xdr:row>8</xdr:row>
      <xdr:rowOff>133350</xdr:rowOff>
    </xdr:from>
    <xdr:to>
      <xdr:col>2</xdr:col>
      <xdr:colOff>101600</xdr:colOff>
      <xdr:row>22</xdr:row>
      <xdr:rowOff>79375</xdr:rowOff>
    </xdr:to>
    <mc:AlternateContent xmlns:mc="http://schemas.openxmlformats.org/markup-compatibility/2006">
      <mc:Choice xmlns:a14="http://schemas.microsoft.com/office/drawing/2010/main" Requires="a14">
        <xdr:graphicFrame macro="">
          <xdr:nvGraphicFramePr>
            <xdr:cNvPr id="7" name="Genre">
              <a:extLst>
                <a:ext uri="{FF2B5EF4-FFF2-40B4-BE49-F238E27FC236}">
                  <a16:creationId xmlns:a16="http://schemas.microsoft.com/office/drawing/2014/main" id="{F4940DA4-9951-1CD9-BA67-888EE1FB0253}"/>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361950" y="1606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298450</xdr:colOff>
      <xdr:row>13</xdr:row>
      <xdr:rowOff>152400</xdr:rowOff>
    </xdr:from>
    <xdr:to>
      <xdr:col>2</xdr:col>
      <xdr:colOff>38100</xdr:colOff>
      <xdr:row>27</xdr:row>
      <xdr:rowOff>98425</xdr:rowOff>
    </xdr:to>
    <mc:AlternateContent xmlns:mc="http://schemas.openxmlformats.org/markup-compatibility/2006">
      <mc:Choice xmlns:a14="http://schemas.microsoft.com/office/drawing/2010/main" Requires="a14">
        <xdr:graphicFrame macro="">
          <xdr:nvGraphicFramePr>
            <xdr:cNvPr id="8" name="Country">
              <a:extLst>
                <a:ext uri="{FF2B5EF4-FFF2-40B4-BE49-F238E27FC236}">
                  <a16:creationId xmlns:a16="http://schemas.microsoft.com/office/drawing/2014/main" id="{116F3C15-7BB7-9FEB-4A06-ECF7EB9C858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98450" y="2546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refreshedDate="45913.512789004628" createdVersion="8" refreshedVersion="8" minRefreshableVersion="3" recordCount="29" xr:uid="{64E64454-E951-42F2-8B08-1BCF4F34298A}">
  <cacheSource type="worksheet">
    <worksheetSource ref="A3:F32" sheet="Music "/>
  </cacheSource>
  <cacheFields count="6">
    <cacheField name="Year" numFmtId="0">
      <sharedItems containsSemiMixedTypes="0" containsString="0" containsNumber="1" containsInteger="1" minValue="2015" maxValue="2024" count="10">
        <n v="2015"/>
        <n v="2016"/>
        <n v="2017"/>
        <n v="2018"/>
        <n v="2019"/>
        <n v="2020"/>
        <n v="2021"/>
        <n v="2022"/>
        <n v="2023"/>
        <n v="2024"/>
      </sharedItems>
    </cacheField>
    <cacheField name="Song" numFmtId="0">
      <sharedItems/>
    </cacheField>
    <cacheField name="Artist" numFmtId="0">
      <sharedItems count="25">
        <s v="Bruno Mars"/>
        <s v="Drake"/>
        <s v="Ed Sheeran"/>
        <s v="Luis Fonsi"/>
        <s v="Anirudh Ravichander"/>
        <s v="The Weeknd"/>
        <s v="BTS"/>
        <s v="Rema"/>
        <s v="Miley Cyrus"/>
        <s v="Adele"/>
        <s v="Rihanna"/>
        <s v="Kendrick Lamar"/>
        <s v="Imagine Dragons"/>
        <s v="Harry Styles"/>
        <s v="Olivia Rodrigo"/>
        <s v="Dua Lipa"/>
        <s v="Sam Smith"/>
        <s v="Alan Walker"/>
        <s v="Post Malone"/>
        <s v="Shawn Mendes"/>
        <s v="Lil Nas X"/>
        <s v="Jason Derulo"/>
        <s v="Kid Laroi &amp; Bieber"/>
        <s v="Jungkook"/>
        <s v="Sai Abhyankkar"/>
      </sharedItems>
    </cacheField>
    <cacheField name="Genre" numFmtId="0">
      <sharedItems count="10">
        <s v="Pop"/>
        <s v="Hip-Hop"/>
        <s v="Reggaeton"/>
        <s v="Tamil Pop"/>
        <s v="R&amp;B"/>
        <s v="K-Pop"/>
        <s v="Afrobeats"/>
        <s v="Rock"/>
        <s v="EDM"/>
        <s v="Country"/>
      </sharedItems>
    </cacheField>
    <cacheField name="Country" numFmtId="0">
      <sharedItems count="10">
        <s v="USA"/>
        <s v="Canada"/>
        <s v="UK"/>
        <s v="Puerto Rico"/>
        <s v="India"/>
        <s v="South Korea"/>
        <s v="Nigeria"/>
        <s v="Barbados"/>
        <s v="Norway"/>
        <s v="Australia"/>
      </sharedItems>
    </cacheField>
    <cacheField name="Streams (M)" numFmtId="0">
      <sharedItems containsSemiMixedTypes="0" containsString="0" containsNumber="1" containsInteger="1" minValue="650" maxValue="1140"/>
    </cacheField>
  </cacheFields>
  <extLst>
    <ext xmlns:x14="http://schemas.microsoft.com/office/spreadsheetml/2009/9/main" uri="{725AE2AE-9491-48be-B2B4-4EB974FC3084}">
      <x14:pivotCacheDefinition pivotCacheId="1440748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s v="Uptown Funk"/>
    <x v="0"/>
    <x v="0"/>
    <x v="0"/>
    <n v="820"/>
  </r>
  <r>
    <x v="1"/>
    <s v="One Dance"/>
    <x v="1"/>
    <x v="1"/>
    <x v="1"/>
    <n v="950"/>
  </r>
  <r>
    <x v="2"/>
    <s v="Shape of You"/>
    <x v="2"/>
    <x v="0"/>
    <x v="2"/>
    <n v="1020"/>
  </r>
  <r>
    <x v="3"/>
    <s v="Despacito"/>
    <x v="3"/>
    <x v="2"/>
    <x v="3"/>
    <n v="970"/>
  </r>
  <r>
    <x v="4"/>
    <s v="Vaathi Coming"/>
    <x v="4"/>
    <x v="3"/>
    <x v="4"/>
    <n v="650"/>
  </r>
  <r>
    <x v="5"/>
    <s v="Blinding Lights"/>
    <x v="5"/>
    <x v="4"/>
    <x v="1"/>
    <n v="1140"/>
  </r>
  <r>
    <x v="6"/>
    <s v="Butter"/>
    <x v="6"/>
    <x v="5"/>
    <x v="5"/>
    <n v="980"/>
  </r>
  <r>
    <x v="7"/>
    <s v="Calm Down"/>
    <x v="7"/>
    <x v="6"/>
    <x v="6"/>
    <n v="870"/>
  </r>
  <r>
    <x v="8"/>
    <s v="Flowers"/>
    <x v="8"/>
    <x v="0"/>
    <x v="0"/>
    <n v="920"/>
  </r>
  <r>
    <x v="9"/>
    <s v="Aradhya"/>
    <x v="4"/>
    <x v="3"/>
    <x v="4"/>
    <n v="700"/>
  </r>
  <r>
    <x v="0"/>
    <s v="Hello"/>
    <x v="9"/>
    <x v="0"/>
    <x v="2"/>
    <n v="890"/>
  </r>
  <r>
    <x v="1"/>
    <s v="Work"/>
    <x v="10"/>
    <x v="4"/>
    <x v="7"/>
    <n v="740"/>
  </r>
  <r>
    <x v="2"/>
    <s v="Humble"/>
    <x v="11"/>
    <x v="1"/>
    <x v="0"/>
    <n v="880"/>
  </r>
  <r>
    <x v="3"/>
    <s v="Perfect"/>
    <x v="2"/>
    <x v="0"/>
    <x v="2"/>
    <n v="950"/>
  </r>
  <r>
    <x v="4"/>
    <s v="Believer"/>
    <x v="12"/>
    <x v="7"/>
    <x v="0"/>
    <n v="770"/>
  </r>
  <r>
    <x v="5"/>
    <s v="Watermelon Sugar"/>
    <x v="13"/>
    <x v="0"/>
    <x v="2"/>
    <n v="810"/>
  </r>
  <r>
    <x v="6"/>
    <s v="Drivers License"/>
    <x v="14"/>
    <x v="0"/>
    <x v="0"/>
    <n v="960"/>
  </r>
  <r>
    <x v="7"/>
    <s v="Levitating"/>
    <x v="15"/>
    <x v="0"/>
    <x v="2"/>
    <n v="920"/>
  </r>
  <r>
    <x v="8"/>
    <s v="Unholy"/>
    <x v="16"/>
    <x v="0"/>
    <x v="2"/>
    <n v="850"/>
  </r>
  <r>
    <x v="9"/>
    <s v="Idol"/>
    <x v="6"/>
    <x v="5"/>
    <x v="5"/>
    <n v="1120"/>
  </r>
  <r>
    <x v="1"/>
    <s v="Faded"/>
    <x v="17"/>
    <x v="8"/>
    <x v="8"/>
    <n v="780"/>
  </r>
  <r>
    <x v="2"/>
    <s v="Rockstar"/>
    <x v="18"/>
    <x v="1"/>
    <x v="0"/>
    <n v="870"/>
  </r>
  <r>
    <x v="3"/>
    <s v="Senorita"/>
    <x v="19"/>
    <x v="0"/>
    <x v="1"/>
    <n v="910"/>
  </r>
  <r>
    <x v="4"/>
    <s v="Old Town Road"/>
    <x v="20"/>
    <x v="9"/>
    <x v="0"/>
    <n v="930"/>
  </r>
  <r>
    <x v="5"/>
    <s v="Savage Love"/>
    <x v="21"/>
    <x v="0"/>
    <x v="0"/>
    <n v="720"/>
  </r>
  <r>
    <x v="6"/>
    <s v="Stay"/>
    <x v="22"/>
    <x v="0"/>
    <x v="9"/>
    <n v="1050"/>
  </r>
  <r>
    <x v="7"/>
    <s v="Industry Baby"/>
    <x v="20"/>
    <x v="1"/>
    <x v="0"/>
    <n v="940"/>
  </r>
  <r>
    <x v="8"/>
    <s v="Seven"/>
    <x v="23"/>
    <x v="5"/>
    <x v="5"/>
    <n v="1080"/>
  </r>
  <r>
    <x v="9"/>
    <s v="Tum Tum"/>
    <x v="24"/>
    <x v="3"/>
    <x v="4"/>
    <n v="6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C5AEFF-607F-4CD7-86FC-EE8D08EFFA53}"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12:M23" firstHeaderRow="1" firstDataRow="1" firstDataCol="1"/>
  <pivotFields count="6">
    <pivotField showAll="0">
      <items count="11">
        <item x="0"/>
        <item x="1"/>
        <item x="2"/>
        <item x="3"/>
        <item x="4"/>
        <item x="5"/>
        <item x="6"/>
        <item x="7"/>
        <item x="8"/>
        <item x="9"/>
        <item t="default"/>
      </items>
    </pivotField>
    <pivotField showAll="0"/>
    <pivotField showAll="0"/>
    <pivotField showAll="0">
      <items count="11">
        <item x="6"/>
        <item x="9"/>
        <item x="8"/>
        <item x="1"/>
        <item x="5"/>
        <item x="0"/>
        <item x="4"/>
        <item x="2"/>
        <item x="7"/>
        <item x="3"/>
        <item t="default"/>
      </items>
    </pivotField>
    <pivotField axis="axisRow" showAll="0">
      <items count="11">
        <item x="9"/>
        <item x="7"/>
        <item x="1"/>
        <item x="4"/>
        <item x="6"/>
        <item x="8"/>
        <item x="3"/>
        <item x="5"/>
        <item x="2"/>
        <item x="0"/>
        <item t="default"/>
      </items>
    </pivotField>
    <pivotField dataField="1" showAll="0"/>
  </pivotFields>
  <rowFields count="1">
    <field x="4"/>
  </rowFields>
  <rowItems count="11">
    <i>
      <x/>
    </i>
    <i>
      <x v="1"/>
    </i>
    <i>
      <x v="2"/>
    </i>
    <i>
      <x v="3"/>
    </i>
    <i>
      <x v="4"/>
    </i>
    <i>
      <x v="5"/>
    </i>
    <i>
      <x v="6"/>
    </i>
    <i>
      <x v="7"/>
    </i>
    <i>
      <x v="8"/>
    </i>
    <i>
      <x v="9"/>
    </i>
    <i t="grand">
      <x/>
    </i>
  </rowItems>
  <colItems count="1">
    <i/>
  </colItems>
  <dataFields count="1">
    <dataField name="Sum of Streams (M)" fld="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90F42A-8DF3-4781-83B8-FBC4CE840D38}"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4:J15" firstHeaderRow="1" firstDataRow="1" firstDataCol="1"/>
  <pivotFields count="6">
    <pivotField showAll="0">
      <items count="11">
        <item x="0"/>
        <item x="1"/>
        <item x="2"/>
        <item x="3"/>
        <item x="4"/>
        <item x="5"/>
        <item x="6"/>
        <item x="7"/>
        <item x="8"/>
        <item x="9"/>
        <item t="default"/>
      </items>
    </pivotField>
    <pivotField showAll="0"/>
    <pivotField showAll="0"/>
    <pivotField axis="axisRow" showAll="0">
      <items count="11">
        <item x="6"/>
        <item x="9"/>
        <item x="8"/>
        <item x="1"/>
        <item x="5"/>
        <item x="0"/>
        <item x="4"/>
        <item x="2"/>
        <item x="7"/>
        <item x="3"/>
        <item t="default"/>
      </items>
    </pivotField>
    <pivotField showAll="0">
      <items count="11">
        <item x="9"/>
        <item x="7"/>
        <item x="1"/>
        <item x="4"/>
        <item x="6"/>
        <item x="8"/>
        <item x="3"/>
        <item x="5"/>
        <item x="2"/>
        <item x="0"/>
        <item t="default"/>
      </items>
    </pivotField>
    <pivotField dataField="1" showAll="0"/>
  </pivotFields>
  <rowFields count="1">
    <field x="3"/>
  </rowFields>
  <rowItems count="11">
    <i>
      <x/>
    </i>
    <i>
      <x v="1"/>
    </i>
    <i>
      <x v="2"/>
    </i>
    <i>
      <x v="3"/>
    </i>
    <i>
      <x v="4"/>
    </i>
    <i>
      <x v="5"/>
    </i>
    <i>
      <x v="6"/>
    </i>
    <i>
      <x v="7"/>
    </i>
    <i>
      <x v="8"/>
    </i>
    <i>
      <x v="9"/>
    </i>
    <i t="grand">
      <x/>
    </i>
  </rowItems>
  <colItems count="1">
    <i/>
  </colItems>
  <dataFields count="1">
    <dataField name="Sum of Streams (M)" fld="5"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B696A5-22AC-4DCE-9275-73B2468D7043}"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4:F30" firstHeaderRow="1" firstDataRow="1" firstDataCol="1"/>
  <pivotFields count="6">
    <pivotField showAll="0">
      <items count="11">
        <item x="0"/>
        <item x="1"/>
        <item x="2"/>
        <item x="3"/>
        <item x="4"/>
        <item x="5"/>
        <item x="6"/>
        <item x="7"/>
        <item x="8"/>
        <item x="9"/>
        <item t="default"/>
      </items>
    </pivotField>
    <pivotField showAll="0"/>
    <pivotField axis="axisRow" showAll="0">
      <items count="26">
        <item x="9"/>
        <item x="17"/>
        <item x="4"/>
        <item x="0"/>
        <item x="6"/>
        <item x="1"/>
        <item x="15"/>
        <item x="2"/>
        <item x="13"/>
        <item x="12"/>
        <item x="21"/>
        <item x="23"/>
        <item x="11"/>
        <item x="22"/>
        <item x="20"/>
        <item x="3"/>
        <item x="8"/>
        <item x="14"/>
        <item x="18"/>
        <item x="7"/>
        <item x="10"/>
        <item x="24"/>
        <item x="16"/>
        <item x="19"/>
        <item x="5"/>
        <item t="default"/>
      </items>
    </pivotField>
    <pivotField showAll="0">
      <items count="11">
        <item x="6"/>
        <item x="9"/>
        <item x="8"/>
        <item x="1"/>
        <item x="5"/>
        <item x="0"/>
        <item x="4"/>
        <item x="2"/>
        <item x="7"/>
        <item x="3"/>
        <item t="default"/>
      </items>
    </pivotField>
    <pivotField showAll="0">
      <items count="11">
        <item x="9"/>
        <item x="7"/>
        <item x="1"/>
        <item x="4"/>
        <item x="6"/>
        <item x="8"/>
        <item x="3"/>
        <item x="5"/>
        <item x="2"/>
        <item x="0"/>
        <item t="default"/>
      </items>
    </pivotField>
    <pivotField dataField="1" showAll="0"/>
  </pivotFields>
  <rowFields count="1">
    <field x="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Streams (M)" fld="5" baseField="0" baseItem="0"/>
  </dataFields>
  <chartFormats count="2">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AB3B62-37D5-4FF2-B207-5591C1D9588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6">
    <pivotField axis="axisRow" showAll="0">
      <items count="11">
        <item x="0"/>
        <item x="1"/>
        <item x="2"/>
        <item x="3"/>
        <item x="4"/>
        <item x="5"/>
        <item x="6"/>
        <item x="7"/>
        <item x="8"/>
        <item x="9"/>
        <item t="default"/>
      </items>
    </pivotField>
    <pivotField showAll="0"/>
    <pivotField showAll="0"/>
    <pivotField showAll="0">
      <items count="11">
        <item x="6"/>
        <item x="9"/>
        <item x="8"/>
        <item x="1"/>
        <item x="5"/>
        <item x="0"/>
        <item x="4"/>
        <item x="2"/>
        <item x="7"/>
        <item x="3"/>
        <item t="default"/>
      </items>
    </pivotField>
    <pivotField showAll="0">
      <items count="11">
        <item x="9"/>
        <item x="7"/>
        <item x="1"/>
        <item x="4"/>
        <item x="6"/>
        <item x="8"/>
        <item x="3"/>
        <item x="5"/>
        <item x="2"/>
        <item x="0"/>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Sum of Streams (M)" fld="5" baseField="0" baseItem="0"/>
  </dataFields>
  <chartFormats count="12">
    <chartFormat chart="6" format="0"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 chart="8" format="14">
      <pivotArea type="data" outline="0" fieldPosition="0">
        <references count="2">
          <reference field="4294967294" count="1" selected="0">
            <x v="0"/>
          </reference>
          <reference field="0" count="1" selected="0">
            <x v="1"/>
          </reference>
        </references>
      </pivotArea>
    </chartFormat>
    <chartFormat chart="8" format="15">
      <pivotArea type="data" outline="0" fieldPosition="0">
        <references count="2">
          <reference field="4294967294" count="1" selected="0">
            <x v="0"/>
          </reference>
          <reference field="0" count="1" selected="0">
            <x v="2"/>
          </reference>
        </references>
      </pivotArea>
    </chartFormat>
    <chartFormat chart="8" format="16">
      <pivotArea type="data" outline="0" fieldPosition="0">
        <references count="2">
          <reference field="4294967294" count="1" selected="0">
            <x v="0"/>
          </reference>
          <reference field="0" count="1" selected="0">
            <x v="3"/>
          </reference>
        </references>
      </pivotArea>
    </chartFormat>
    <chartFormat chart="8" format="17">
      <pivotArea type="data" outline="0" fieldPosition="0">
        <references count="2">
          <reference field="4294967294" count="1" selected="0">
            <x v="0"/>
          </reference>
          <reference field="0" count="1" selected="0">
            <x v="4"/>
          </reference>
        </references>
      </pivotArea>
    </chartFormat>
    <chartFormat chart="8" format="18">
      <pivotArea type="data" outline="0" fieldPosition="0">
        <references count="2">
          <reference field="4294967294" count="1" selected="0">
            <x v="0"/>
          </reference>
          <reference field="0" count="1" selected="0">
            <x v="5"/>
          </reference>
        </references>
      </pivotArea>
    </chartFormat>
    <chartFormat chart="8" format="19">
      <pivotArea type="data" outline="0" fieldPosition="0">
        <references count="2">
          <reference field="4294967294" count="1" selected="0">
            <x v="0"/>
          </reference>
          <reference field="0" count="1" selected="0">
            <x v="6"/>
          </reference>
        </references>
      </pivotArea>
    </chartFormat>
    <chartFormat chart="8" format="20">
      <pivotArea type="data" outline="0" fieldPosition="0">
        <references count="2">
          <reference field="4294967294" count="1" selected="0">
            <x v="0"/>
          </reference>
          <reference field="0" count="1" selected="0">
            <x v="7"/>
          </reference>
        </references>
      </pivotArea>
    </chartFormat>
    <chartFormat chart="8" format="21">
      <pivotArea type="data" outline="0" fieldPosition="0">
        <references count="2">
          <reference field="4294967294" count="1" selected="0">
            <x v="0"/>
          </reference>
          <reference field="0" count="1" selected="0">
            <x v="8"/>
          </reference>
        </references>
      </pivotArea>
    </chartFormat>
    <chartFormat chart="8" format="22">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922D772-4A71-4584-B956-540E7A7AD0EF}" sourceName="Year">
  <pivotTables>
    <pivotTable tabId="5" name="PivotTable1"/>
  </pivotTables>
  <data>
    <tabular pivotCacheId="1440748433">
      <items count="10">
        <i x="0" s="1"/>
        <i x="1" s="1"/>
        <i x="2" s="1"/>
        <i x="3" s="1"/>
        <i x="4" s="1"/>
        <i x="5" s="1"/>
        <i x="6" s="1"/>
        <i x="7" s="1"/>
        <i x="8" s="1"/>
        <i x="9"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06C105C9-E205-45B4-97A7-F144F2AE67EF}" sourceName="Genre">
  <pivotTables>
    <pivotTable tabId="5" name="PivotTable1"/>
    <pivotTable tabId="5" name="PivotTable2"/>
    <pivotTable tabId="5" name="PivotTable3"/>
    <pivotTable tabId="5" name="PivotTable4"/>
  </pivotTables>
  <data>
    <tabular pivotCacheId="1440748433">
      <items count="10">
        <i x="6" s="1"/>
        <i x="9" s="1"/>
        <i x="8" s="1"/>
        <i x="1" s="1"/>
        <i x="5" s="1"/>
        <i x="0" s="1"/>
        <i x="4" s="1"/>
        <i x="2" s="1"/>
        <i x="7"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A550781-51EC-4BE6-9D3A-9C87DCC02EE3}" sourceName="Country">
  <pivotTables>
    <pivotTable tabId="5" name="PivotTable1"/>
    <pivotTable tabId="5" name="PivotTable2"/>
    <pivotTable tabId="5" name="PivotTable3"/>
    <pivotTable tabId="5" name="PivotTable4"/>
  </pivotTables>
  <data>
    <tabular pivotCacheId="1440748433">
      <items count="10">
        <i x="9" s="1"/>
        <i x="7" s="1"/>
        <i x="1" s="1"/>
        <i x="4" s="1"/>
        <i x="6" s="1"/>
        <i x="8" s="1"/>
        <i x="3" s="1"/>
        <i x="5"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DA3032D-E0DA-430B-ABE0-4EB05FA47F24}" cache="Slicer_Year" caption="Year" columnCount="2" showCaption="0" rowHeight="241300"/>
  <slicer name="Genre 1" xr10:uid="{99A5DEB4-E2F2-45A4-852C-D8311CF5CE3D}" cache="Slicer_Genre" caption="Genre" rowHeight="241300"/>
  <slicer name="Country 1" xr10:uid="{CD408177-A29A-4E38-88E9-8F65E6398809}"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E50A0CF-3269-4D09-B703-845348E3135D}" cache="Slicer_Year" caption="Year" columnCount="2" showCaption="0" rowHeight="241300"/>
  <slicer name="Genre" xr10:uid="{6F71B850-D382-4FEA-A888-581AC1C6C4FE}" cache="Slicer_Genre" caption="Genre" rowHeight="241300"/>
  <slicer name="Country" xr10:uid="{79F3A491-36A5-4BC7-A46C-A21DD5DB426B}" cache="Slicer_Country" caption="Country"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72B9D-93BC-409A-8028-54CC7A73233C}">
  <dimension ref="A1"/>
  <sheetViews>
    <sheetView showGridLines="0" showRowColHeaders="0" zoomScale="85" zoomScaleNormal="85" workbookViewId="0">
      <selection activeCell="R17" sqref="R17"/>
    </sheetView>
  </sheetViews>
  <sheetFormatPr defaultRowHeight="14.5" x14ac:dyDescent="0.35"/>
  <cols>
    <col min="1" max="1" width="9.54296875" bestFit="1" customWidth="1"/>
    <col min="2" max="2" width="17.542968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6CFF0-EE82-496D-9109-2EA9CCEA9359}">
  <dimension ref="A3:M30"/>
  <sheetViews>
    <sheetView zoomScaleNormal="100" workbookViewId="0">
      <selection activeCell="I31" sqref="I31"/>
    </sheetView>
  </sheetViews>
  <sheetFormatPr defaultRowHeight="14.5" x14ac:dyDescent="0.35"/>
  <cols>
    <col min="1" max="1" width="12.36328125" bestFit="1" customWidth="1"/>
    <col min="2" max="2" width="17.54296875" bestFit="1" customWidth="1"/>
    <col min="5" max="5" width="18.453125" bestFit="1" customWidth="1"/>
    <col min="6" max="6" width="17.54296875" bestFit="1" customWidth="1"/>
    <col min="9" max="9" width="12.36328125" bestFit="1" customWidth="1"/>
    <col min="10" max="10" width="17.54296875" bestFit="1" customWidth="1"/>
    <col min="12" max="12" width="12.36328125" bestFit="1" customWidth="1"/>
    <col min="13" max="13" width="17.54296875" bestFit="1" customWidth="1"/>
  </cols>
  <sheetData>
    <row r="3" spans="1:13" x14ac:dyDescent="0.35">
      <c r="A3" s="6" t="s">
        <v>82</v>
      </c>
      <c r="B3" t="s">
        <v>80</v>
      </c>
    </row>
    <row r="4" spans="1:13" x14ac:dyDescent="0.35">
      <c r="A4" s="8">
        <v>2015</v>
      </c>
      <c r="B4" s="7">
        <v>1710</v>
      </c>
      <c r="E4" s="6" t="s">
        <v>82</v>
      </c>
      <c r="F4" t="s">
        <v>80</v>
      </c>
      <c r="I4" s="6" t="s">
        <v>82</v>
      </c>
      <c r="J4" t="s">
        <v>80</v>
      </c>
    </row>
    <row r="5" spans="1:13" x14ac:dyDescent="0.35">
      <c r="A5" s="8">
        <v>2016</v>
      </c>
      <c r="B5" s="7">
        <v>2470</v>
      </c>
      <c r="E5" s="8" t="s">
        <v>41</v>
      </c>
      <c r="F5" s="7">
        <v>890</v>
      </c>
      <c r="I5" s="8" t="s">
        <v>71</v>
      </c>
      <c r="J5" s="7">
        <v>870</v>
      </c>
    </row>
    <row r="6" spans="1:13" x14ac:dyDescent="0.35">
      <c r="A6" s="8">
        <v>2017</v>
      </c>
      <c r="B6" s="7">
        <v>2770</v>
      </c>
      <c r="E6" s="8" t="s">
        <v>74</v>
      </c>
      <c r="F6" s="7">
        <v>780</v>
      </c>
      <c r="I6" s="8" t="s">
        <v>3</v>
      </c>
      <c r="J6" s="7">
        <v>930</v>
      </c>
    </row>
    <row r="7" spans="1:13" x14ac:dyDescent="0.35">
      <c r="A7" s="8">
        <v>2018</v>
      </c>
      <c r="B7" s="7">
        <v>2830</v>
      </c>
      <c r="E7" s="8" t="s">
        <v>60</v>
      </c>
      <c r="F7" s="7">
        <v>1350</v>
      </c>
      <c r="I7" s="8" t="s">
        <v>75</v>
      </c>
      <c r="J7" s="7">
        <v>780</v>
      </c>
    </row>
    <row r="8" spans="1:13" x14ac:dyDescent="0.35">
      <c r="A8" s="8">
        <v>2019</v>
      </c>
      <c r="B8" s="7">
        <v>2350</v>
      </c>
      <c r="E8" s="8" t="s">
        <v>5</v>
      </c>
      <c r="F8" s="7">
        <v>820</v>
      </c>
      <c r="I8" s="8" t="s">
        <v>65</v>
      </c>
      <c r="J8" s="7">
        <v>3640</v>
      </c>
    </row>
    <row r="9" spans="1:13" x14ac:dyDescent="0.35">
      <c r="A9" s="8">
        <v>2020</v>
      </c>
      <c r="B9" s="7">
        <v>2670</v>
      </c>
      <c r="E9" s="8" t="s">
        <v>35</v>
      </c>
      <c r="F9" s="7">
        <v>2100</v>
      </c>
      <c r="I9" s="8" t="s">
        <v>70</v>
      </c>
      <c r="J9" s="7">
        <v>3180</v>
      </c>
    </row>
    <row r="10" spans="1:13" x14ac:dyDescent="0.35">
      <c r="A10" s="8">
        <v>2021</v>
      </c>
      <c r="B10" s="7">
        <v>2990</v>
      </c>
      <c r="E10" s="8" t="s">
        <v>27</v>
      </c>
      <c r="F10" s="7">
        <v>950</v>
      </c>
      <c r="I10" s="8" t="s">
        <v>64</v>
      </c>
      <c r="J10" s="7">
        <v>10820</v>
      </c>
    </row>
    <row r="11" spans="1:13" x14ac:dyDescent="0.35">
      <c r="A11" s="8">
        <v>2022</v>
      </c>
      <c r="B11" s="7">
        <v>2730</v>
      </c>
      <c r="E11" s="8" t="s">
        <v>37</v>
      </c>
      <c r="F11" s="7">
        <v>920</v>
      </c>
      <c r="I11" s="8" t="s">
        <v>69</v>
      </c>
      <c r="J11" s="7">
        <v>1880</v>
      </c>
    </row>
    <row r="12" spans="1:13" x14ac:dyDescent="0.35">
      <c r="A12" s="8">
        <v>2023</v>
      </c>
      <c r="B12" s="7">
        <v>2850</v>
      </c>
      <c r="E12" s="8" t="s">
        <v>9</v>
      </c>
      <c r="F12" s="7">
        <v>1970</v>
      </c>
      <c r="I12" s="8" t="s">
        <v>66</v>
      </c>
      <c r="J12" s="7">
        <v>970</v>
      </c>
      <c r="L12" s="6" t="s">
        <v>82</v>
      </c>
      <c r="M12" t="s">
        <v>80</v>
      </c>
    </row>
    <row r="13" spans="1:13" x14ac:dyDescent="0.35">
      <c r="A13" s="8">
        <v>2024</v>
      </c>
      <c r="B13" s="7">
        <v>2510</v>
      </c>
      <c r="E13" s="8" t="s">
        <v>19</v>
      </c>
      <c r="F13" s="7">
        <v>810</v>
      </c>
      <c r="I13" s="8" t="s">
        <v>72</v>
      </c>
      <c r="J13" s="7">
        <v>770</v>
      </c>
      <c r="L13" s="8" t="s">
        <v>18</v>
      </c>
      <c r="M13" s="7">
        <v>1050</v>
      </c>
    </row>
    <row r="14" spans="1:13" x14ac:dyDescent="0.35">
      <c r="A14" s="8" t="s">
        <v>83</v>
      </c>
      <c r="B14" s="7">
        <v>25880</v>
      </c>
      <c r="E14" s="8" t="s">
        <v>46</v>
      </c>
      <c r="F14" s="7">
        <v>770</v>
      </c>
      <c r="I14" s="8" t="s">
        <v>68</v>
      </c>
      <c r="J14" s="7">
        <v>2040</v>
      </c>
      <c r="L14" s="8" t="s">
        <v>44</v>
      </c>
      <c r="M14" s="7">
        <v>740</v>
      </c>
    </row>
    <row r="15" spans="1:13" x14ac:dyDescent="0.35">
      <c r="E15" s="8" t="s">
        <v>52</v>
      </c>
      <c r="F15" s="7">
        <v>720</v>
      </c>
      <c r="I15" s="8" t="s">
        <v>83</v>
      </c>
      <c r="J15" s="7">
        <v>25880</v>
      </c>
      <c r="L15" s="8" t="s">
        <v>7</v>
      </c>
      <c r="M15" s="7">
        <v>3000</v>
      </c>
    </row>
    <row r="16" spans="1:13" x14ac:dyDescent="0.35">
      <c r="E16" s="8" t="s">
        <v>24</v>
      </c>
      <c r="F16" s="7">
        <v>1080</v>
      </c>
      <c r="L16" s="8" t="s">
        <v>61</v>
      </c>
      <c r="M16" s="7">
        <v>2040</v>
      </c>
    </row>
    <row r="17" spans="5:13" x14ac:dyDescent="0.35">
      <c r="E17" s="8" t="s">
        <v>29</v>
      </c>
      <c r="F17" s="7">
        <v>880</v>
      </c>
      <c r="L17" s="8" t="s">
        <v>22</v>
      </c>
      <c r="M17" s="7">
        <v>870</v>
      </c>
    </row>
    <row r="18" spans="5:13" x14ac:dyDescent="0.35">
      <c r="E18" s="8" t="s">
        <v>17</v>
      </c>
      <c r="F18" s="7">
        <v>1050</v>
      </c>
      <c r="L18" s="8" t="s">
        <v>76</v>
      </c>
      <c r="M18" s="7">
        <v>780</v>
      </c>
    </row>
    <row r="19" spans="5:13" x14ac:dyDescent="0.35">
      <c r="E19" s="8" t="s">
        <v>50</v>
      </c>
      <c r="F19" s="7">
        <v>1870</v>
      </c>
      <c r="L19" s="8" t="s">
        <v>13</v>
      </c>
      <c r="M19" s="7">
        <v>970</v>
      </c>
    </row>
    <row r="20" spans="5:13" x14ac:dyDescent="0.35">
      <c r="E20" s="8" t="s">
        <v>12</v>
      </c>
      <c r="F20" s="7">
        <v>970</v>
      </c>
      <c r="L20" s="8" t="s">
        <v>25</v>
      </c>
      <c r="M20" s="7">
        <v>3180</v>
      </c>
    </row>
    <row r="21" spans="5:13" x14ac:dyDescent="0.35">
      <c r="E21" s="8" t="s">
        <v>39</v>
      </c>
      <c r="F21" s="7">
        <v>920</v>
      </c>
      <c r="L21" s="8" t="s">
        <v>10</v>
      </c>
      <c r="M21" s="7">
        <v>5440</v>
      </c>
    </row>
    <row r="22" spans="5:13" x14ac:dyDescent="0.35">
      <c r="E22" s="8" t="s">
        <v>54</v>
      </c>
      <c r="F22" s="7">
        <v>960</v>
      </c>
      <c r="L22" s="8" t="s">
        <v>6</v>
      </c>
      <c r="M22" s="7">
        <v>7810</v>
      </c>
    </row>
    <row r="23" spans="5:13" x14ac:dyDescent="0.35">
      <c r="E23" s="8" t="s">
        <v>48</v>
      </c>
      <c r="F23" s="7">
        <v>870</v>
      </c>
      <c r="L23" s="8" t="s">
        <v>83</v>
      </c>
      <c r="M23" s="7">
        <v>25880</v>
      </c>
    </row>
    <row r="24" spans="5:13" x14ac:dyDescent="0.35">
      <c r="E24" s="8" t="s">
        <v>21</v>
      </c>
      <c r="F24" s="7">
        <v>870</v>
      </c>
    </row>
    <row r="25" spans="5:13" x14ac:dyDescent="0.35">
      <c r="E25" s="8" t="s">
        <v>43</v>
      </c>
      <c r="F25" s="7">
        <v>740</v>
      </c>
    </row>
    <row r="26" spans="5:13" x14ac:dyDescent="0.35">
      <c r="E26" s="8" t="s">
        <v>78</v>
      </c>
      <c r="F26" s="7">
        <v>690</v>
      </c>
    </row>
    <row r="27" spans="5:13" x14ac:dyDescent="0.35">
      <c r="E27" s="8" t="s">
        <v>57</v>
      </c>
      <c r="F27" s="7">
        <v>850</v>
      </c>
    </row>
    <row r="28" spans="5:13" x14ac:dyDescent="0.35">
      <c r="E28" s="8" t="s">
        <v>32</v>
      </c>
      <c r="F28" s="7">
        <v>910</v>
      </c>
    </row>
    <row r="29" spans="5:13" x14ac:dyDescent="0.35">
      <c r="E29" s="8" t="s">
        <v>15</v>
      </c>
      <c r="F29" s="7">
        <v>1140</v>
      </c>
    </row>
    <row r="30" spans="5:13" x14ac:dyDescent="0.35">
      <c r="E30" s="8" t="s">
        <v>83</v>
      </c>
      <c r="F30" s="7">
        <v>25880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
  <sheetViews>
    <sheetView tabSelected="1" zoomScale="85" zoomScaleNormal="85" workbookViewId="0">
      <selection activeCell="H5" sqref="H5"/>
    </sheetView>
  </sheetViews>
  <sheetFormatPr defaultRowHeight="14.5" x14ac:dyDescent="0.35"/>
  <cols>
    <col min="4" max="4" width="9.7265625" customWidth="1"/>
    <col min="8" max="8" width="12.6328125" bestFit="1" customWidth="1"/>
  </cols>
  <sheetData>
    <row r="1" spans="1:8" ht="64" customHeight="1" x14ac:dyDescent="0.35">
      <c r="A1" s="4"/>
      <c r="B1" s="5" t="s">
        <v>79</v>
      </c>
      <c r="C1" s="4"/>
      <c r="D1" s="4"/>
      <c r="E1" s="4"/>
      <c r="F1" s="4"/>
    </row>
    <row r="2" spans="1:8" ht="15" customHeight="1" x14ac:dyDescent="0.35">
      <c r="E2" s="1"/>
    </row>
    <row r="3" spans="1:8" ht="29" customHeight="1" x14ac:dyDescent="0.35">
      <c r="A3" s="2" t="s">
        <v>0</v>
      </c>
      <c r="B3" s="2" t="s">
        <v>1</v>
      </c>
      <c r="C3" s="2" t="s">
        <v>2</v>
      </c>
      <c r="D3" s="2" t="s">
        <v>62</v>
      </c>
      <c r="E3" s="2" t="s">
        <v>3</v>
      </c>
      <c r="F3" s="2" t="s">
        <v>63</v>
      </c>
      <c r="H3" s="2" t="s">
        <v>81</v>
      </c>
    </row>
    <row r="4" spans="1:8" ht="29" x14ac:dyDescent="0.35">
      <c r="A4" s="3">
        <v>2015</v>
      </c>
      <c r="B4" s="3" t="s">
        <v>4</v>
      </c>
      <c r="C4" s="3" t="s">
        <v>5</v>
      </c>
      <c r="D4" s="3" t="s">
        <v>64</v>
      </c>
      <c r="E4" s="3" t="s">
        <v>6</v>
      </c>
      <c r="F4" s="3">
        <v>820</v>
      </c>
      <c r="H4">
        <f>SUM(F4:F32)</f>
        <v>25880</v>
      </c>
    </row>
    <row r="5" spans="1:8" ht="29" x14ac:dyDescent="0.35">
      <c r="A5" s="3">
        <v>2016</v>
      </c>
      <c r="B5" s="3" t="s">
        <v>26</v>
      </c>
      <c r="C5" s="3" t="s">
        <v>27</v>
      </c>
      <c r="D5" s="3" t="s">
        <v>65</v>
      </c>
      <c r="E5" s="3" t="s">
        <v>7</v>
      </c>
      <c r="F5" s="3">
        <v>950</v>
      </c>
      <c r="H5" s="3"/>
    </row>
    <row r="6" spans="1:8" ht="29" x14ac:dyDescent="0.35">
      <c r="A6" s="3">
        <v>2017</v>
      </c>
      <c r="B6" s="3" t="s">
        <v>8</v>
      </c>
      <c r="C6" s="3" t="s">
        <v>9</v>
      </c>
      <c r="D6" s="3" t="s">
        <v>64</v>
      </c>
      <c r="E6" s="3" t="s">
        <v>10</v>
      </c>
      <c r="F6" s="3">
        <v>1020</v>
      </c>
    </row>
    <row r="7" spans="1:8" ht="29" x14ac:dyDescent="0.35">
      <c r="A7" s="3">
        <v>2018</v>
      </c>
      <c r="B7" s="3" t="s">
        <v>11</v>
      </c>
      <c r="C7" s="3" t="s">
        <v>12</v>
      </c>
      <c r="D7" s="3" t="s">
        <v>66</v>
      </c>
      <c r="E7" s="3" t="s">
        <v>13</v>
      </c>
      <c r="F7" s="3">
        <v>970</v>
      </c>
    </row>
    <row r="8" spans="1:8" ht="43.5" x14ac:dyDescent="0.35">
      <c r="A8" s="3">
        <v>2019</v>
      </c>
      <c r="B8" s="3" t="s">
        <v>67</v>
      </c>
      <c r="C8" s="3" t="s">
        <v>60</v>
      </c>
      <c r="D8" s="3" t="s">
        <v>68</v>
      </c>
      <c r="E8" s="3" t="s">
        <v>61</v>
      </c>
      <c r="F8" s="3">
        <v>650</v>
      </c>
    </row>
    <row r="9" spans="1:8" ht="29" x14ac:dyDescent="0.35">
      <c r="A9" s="3">
        <v>2020</v>
      </c>
      <c r="B9" s="3" t="s">
        <v>14</v>
      </c>
      <c r="C9" s="3" t="s">
        <v>15</v>
      </c>
      <c r="D9" s="3" t="s">
        <v>69</v>
      </c>
      <c r="E9" s="3" t="s">
        <v>7</v>
      </c>
      <c r="F9" s="3">
        <v>1140</v>
      </c>
    </row>
    <row r="10" spans="1:8" ht="29" x14ac:dyDescent="0.35">
      <c r="A10" s="3">
        <v>2021</v>
      </c>
      <c r="B10" s="3" t="s">
        <v>34</v>
      </c>
      <c r="C10" s="3" t="s">
        <v>35</v>
      </c>
      <c r="D10" s="3" t="s">
        <v>70</v>
      </c>
      <c r="E10" s="3" t="s">
        <v>25</v>
      </c>
      <c r="F10" s="3">
        <v>980</v>
      </c>
    </row>
    <row r="11" spans="1:8" ht="29" x14ac:dyDescent="0.35">
      <c r="A11" s="3">
        <v>2022</v>
      </c>
      <c r="B11" s="3" t="s">
        <v>20</v>
      </c>
      <c r="C11" s="3" t="s">
        <v>21</v>
      </c>
      <c r="D11" s="3" t="s">
        <v>71</v>
      </c>
      <c r="E11" s="3" t="s">
        <v>22</v>
      </c>
      <c r="F11" s="3">
        <v>870</v>
      </c>
    </row>
    <row r="12" spans="1:8" ht="29" x14ac:dyDescent="0.35">
      <c r="A12" s="3">
        <v>2023</v>
      </c>
      <c r="B12" s="3" t="s">
        <v>38</v>
      </c>
      <c r="C12" s="3" t="s">
        <v>39</v>
      </c>
      <c r="D12" s="3" t="s">
        <v>64</v>
      </c>
      <c r="E12" s="3" t="s">
        <v>6</v>
      </c>
      <c r="F12" s="3">
        <v>920</v>
      </c>
    </row>
    <row r="13" spans="1:8" ht="43.5" x14ac:dyDescent="0.35">
      <c r="A13" s="3">
        <v>2024</v>
      </c>
      <c r="B13" s="3" t="s">
        <v>59</v>
      </c>
      <c r="C13" s="3" t="s">
        <v>60</v>
      </c>
      <c r="D13" s="3" t="s">
        <v>68</v>
      </c>
      <c r="E13" s="3" t="s">
        <v>61</v>
      </c>
      <c r="F13" s="3">
        <v>700</v>
      </c>
    </row>
    <row r="14" spans="1:8" x14ac:dyDescent="0.35">
      <c r="A14" s="3">
        <v>2015</v>
      </c>
      <c r="B14" s="3" t="s">
        <v>40</v>
      </c>
      <c r="C14" s="3" t="s">
        <v>41</v>
      </c>
      <c r="D14" s="3" t="s">
        <v>64</v>
      </c>
      <c r="E14" s="3" t="s">
        <v>10</v>
      </c>
      <c r="F14" s="3">
        <v>890</v>
      </c>
    </row>
    <row r="15" spans="1:8" x14ac:dyDescent="0.35">
      <c r="A15" s="3">
        <v>2016</v>
      </c>
      <c r="B15" s="3" t="s">
        <v>42</v>
      </c>
      <c r="C15" s="3" t="s">
        <v>43</v>
      </c>
      <c r="D15" s="3" t="s">
        <v>69</v>
      </c>
      <c r="E15" s="3" t="s">
        <v>44</v>
      </c>
      <c r="F15" s="3">
        <v>740</v>
      </c>
    </row>
    <row r="16" spans="1:8" ht="29" x14ac:dyDescent="0.35">
      <c r="A16" s="3">
        <v>2017</v>
      </c>
      <c r="B16" s="3" t="s">
        <v>28</v>
      </c>
      <c r="C16" s="3" t="s">
        <v>29</v>
      </c>
      <c r="D16" s="3" t="s">
        <v>65</v>
      </c>
      <c r="E16" s="3" t="s">
        <v>6</v>
      </c>
      <c r="F16" s="3">
        <v>880</v>
      </c>
    </row>
    <row r="17" spans="1:6" ht="29" x14ac:dyDescent="0.35">
      <c r="A17" s="3">
        <v>2018</v>
      </c>
      <c r="B17" s="3" t="s">
        <v>30</v>
      </c>
      <c r="C17" s="3" t="s">
        <v>9</v>
      </c>
      <c r="D17" s="3" t="s">
        <v>64</v>
      </c>
      <c r="E17" s="3" t="s">
        <v>10</v>
      </c>
      <c r="F17" s="3">
        <v>950</v>
      </c>
    </row>
    <row r="18" spans="1:6" ht="29" x14ac:dyDescent="0.35">
      <c r="A18" s="3">
        <v>2019</v>
      </c>
      <c r="B18" s="3" t="s">
        <v>45</v>
      </c>
      <c r="C18" s="3" t="s">
        <v>46</v>
      </c>
      <c r="D18" s="3" t="s">
        <v>72</v>
      </c>
      <c r="E18" s="3" t="s">
        <v>6</v>
      </c>
      <c r="F18" s="3">
        <v>770</v>
      </c>
    </row>
    <row r="19" spans="1:6" ht="29" x14ac:dyDescent="0.35">
      <c r="A19" s="3">
        <v>2020</v>
      </c>
      <c r="B19" s="3" t="s">
        <v>33</v>
      </c>
      <c r="C19" s="3" t="s">
        <v>19</v>
      </c>
      <c r="D19" s="3" t="s">
        <v>64</v>
      </c>
      <c r="E19" s="3" t="s">
        <v>10</v>
      </c>
      <c r="F19" s="3">
        <v>810</v>
      </c>
    </row>
    <row r="20" spans="1:6" ht="29" x14ac:dyDescent="0.35">
      <c r="A20" s="3">
        <v>2021</v>
      </c>
      <c r="B20" s="3" t="s">
        <v>53</v>
      </c>
      <c r="C20" s="3" t="s">
        <v>54</v>
      </c>
      <c r="D20" s="3" t="s">
        <v>64</v>
      </c>
      <c r="E20" s="3" t="s">
        <v>6</v>
      </c>
      <c r="F20" s="3">
        <v>960</v>
      </c>
    </row>
    <row r="21" spans="1:6" x14ac:dyDescent="0.35">
      <c r="A21" s="3">
        <v>2022</v>
      </c>
      <c r="B21" s="3" t="s">
        <v>36</v>
      </c>
      <c r="C21" s="3" t="s">
        <v>37</v>
      </c>
      <c r="D21" s="3" t="s">
        <v>64</v>
      </c>
      <c r="E21" s="3" t="s">
        <v>10</v>
      </c>
      <c r="F21" s="3">
        <v>920</v>
      </c>
    </row>
    <row r="22" spans="1:6" ht="29" x14ac:dyDescent="0.35">
      <c r="A22" s="3">
        <v>2023</v>
      </c>
      <c r="B22" s="3" t="s">
        <v>56</v>
      </c>
      <c r="C22" s="3" t="s">
        <v>57</v>
      </c>
      <c r="D22" s="3" t="s">
        <v>64</v>
      </c>
      <c r="E22" s="3" t="s">
        <v>10</v>
      </c>
      <c r="F22" s="3">
        <v>850</v>
      </c>
    </row>
    <row r="23" spans="1:6" ht="29" x14ac:dyDescent="0.35">
      <c r="A23" s="3">
        <v>2024</v>
      </c>
      <c r="B23" s="3" t="s">
        <v>58</v>
      </c>
      <c r="C23" s="3" t="s">
        <v>35</v>
      </c>
      <c r="D23" s="3" t="s">
        <v>70</v>
      </c>
      <c r="E23" s="3" t="s">
        <v>25</v>
      </c>
      <c r="F23" s="3">
        <v>1120</v>
      </c>
    </row>
    <row r="24" spans="1:6" ht="29" x14ac:dyDescent="0.35">
      <c r="A24" s="3">
        <v>2016</v>
      </c>
      <c r="B24" s="3" t="s">
        <v>73</v>
      </c>
      <c r="C24" s="3" t="s">
        <v>74</v>
      </c>
      <c r="D24" s="3" t="s">
        <v>75</v>
      </c>
      <c r="E24" s="3" t="s">
        <v>76</v>
      </c>
      <c r="F24" s="3">
        <v>780</v>
      </c>
    </row>
    <row r="25" spans="1:6" ht="29" x14ac:dyDescent="0.35">
      <c r="A25" s="3">
        <v>2017</v>
      </c>
      <c r="B25" s="3" t="s">
        <v>47</v>
      </c>
      <c r="C25" s="3" t="s">
        <v>48</v>
      </c>
      <c r="D25" s="3" t="s">
        <v>65</v>
      </c>
      <c r="E25" s="3" t="s">
        <v>6</v>
      </c>
      <c r="F25" s="3">
        <v>870</v>
      </c>
    </row>
    <row r="26" spans="1:6" ht="29" x14ac:dyDescent="0.35">
      <c r="A26" s="3">
        <v>2018</v>
      </c>
      <c r="B26" s="3" t="s">
        <v>31</v>
      </c>
      <c r="C26" s="3" t="s">
        <v>32</v>
      </c>
      <c r="D26" s="3" t="s">
        <v>64</v>
      </c>
      <c r="E26" s="3" t="s">
        <v>7</v>
      </c>
      <c r="F26" s="3">
        <v>910</v>
      </c>
    </row>
    <row r="27" spans="1:6" ht="43.5" x14ac:dyDescent="0.35">
      <c r="A27" s="3">
        <v>2019</v>
      </c>
      <c r="B27" s="3" t="s">
        <v>49</v>
      </c>
      <c r="C27" s="3" t="s">
        <v>50</v>
      </c>
      <c r="D27" s="3" t="s">
        <v>3</v>
      </c>
      <c r="E27" s="3" t="s">
        <v>6</v>
      </c>
      <c r="F27" s="3">
        <v>930</v>
      </c>
    </row>
    <row r="28" spans="1:6" ht="29" x14ac:dyDescent="0.35">
      <c r="A28" s="3">
        <v>2020</v>
      </c>
      <c r="B28" s="3" t="s">
        <v>51</v>
      </c>
      <c r="C28" s="3" t="s">
        <v>52</v>
      </c>
      <c r="D28" s="3" t="s">
        <v>64</v>
      </c>
      <c r="E28" s="3" t="s">
        <v>6</v>
      </c>
      <c r="F28" s="3">
        <v>720</v>
      </c>
    </row>
    <row r="29" spans="1:6" ht="29" x14ac:dyDescent="0.35">
      <c r="A29" s="3">
        <v>2021</v>
      </c>
      <c r="B29" s="3" t="s">
        <v>16</v>
      </c>
      <c r="C29" s="3" t="s">
        <v>17</v>
      </c>
      <c r="D29" s="3" t="s">
        <v>64</v>
      </c>
      <c r="E29" s="3" t="s">
        <v>18</v>
      </c>
      <c r="F29" s="3">
        <v>1050</v>
      </c>
    </row>
    <row r="30" spans="1:6" ht="29" x14ac:dyDescent="0.35">
      <c r="A30" s="3">
        <v>2022</v>
      </c>
      <c r="B30" s="3" t="s">
        <v>55</v>
      </c>
      <c r="C30" s="3" t="s">
        <v>50</v>
      </c>
      <c r="D30" s="3" t="s">
        <v>65</v>
      </c>
      <c r="E30" s="3" t="s">
        <v>6</v>
      </c>
      <c r="F30" s="3">
        <v>940</v>
      </c>
    </row>
    <row r="31" spans="1:6" ht="29" x14ac:dyDescent="0.35">
      <c r="A31" s="3">
        <v>2023</v>
      </c>
      <c r="B31" s="3" t="s">
        <v>23</v>
      </c>
      <c r="C31" s="3" t="s">
        <v>24</v>
      </c>
      <c r="D31" s="3" t="s">
        <v>70</v>
      </c>
      <c r="E31" s="3" t="s">
        <v>25</v>
      </c>
      <c r="F31" s="3">
        <v>1080</v>
      </c>
    </row>
    <row r="32" spans="1:6" ht="43.5" x14ac:dyDescent="0.35">
      <c r="A32" s="3">
        <v>2024</v>
      </c>
      <c r="B32" s="3" t="s">
        <v>77</v>
      </c>
      <c r="C32" s="3" t="s">
        <v>78</v>
      </c>
      <c r="D32" s="3" t="s">
        <v>68</v>
      </c>
      <c r="E32" s="3" t="s">
        <v>61</v>
      </c>
      <c r="F32" s="3">
        <v>690</v>
      </c>
    </row>
    <row r="33" spans="1:6" x14ac:dyDescent="0.35">
      <c r="A33" s="3"/>
      <c r="B33" s="3"/>
      <c r="C33" s="3"/>
      <c r="D33" s="3"/>
      <c r="E33" s="3"/>
      <c r="F33" s="3"/>
    </row>
    <row r="34" spans="1:6" x14ac:dyDescent="0.35">
      <c r="A34" s="3"/>
      <c r="B34" s="3"/>
      <c r="C34" s="3"/>
      <c r="D34" s="3"/>
      <c r="E34" s="3"/>
      <c r="F34" s="3"/>
    </row>
    <row r="35" spans="1:6" x14ac:dyDescent="0.35">
      <c r="A35" s="3"/>
      <c r="B35" s="3"/>
      <c r="C35" s="3"/>
      <c r="D35" s="3"/>
      <c r="E35" s="3"/>
      <c r="F35"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Music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Thishanth 07</cp:lastModifiedBy>
  <dcterms:created xsi:type="dcterms:W3CDTF">2025-09-09T18:30:21Z</dcterms:created>
  <dcterms:modified xsi:type="dcterms:W3CDTF">2025-09-13T23:45:48Z</dcterms:modified>
</cp:coreProperties>
</file>